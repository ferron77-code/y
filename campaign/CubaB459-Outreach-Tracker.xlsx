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spects" sheetId="2" state="visible" r:id="rId2"/>
    <sheet name="Dashboard" sheetId="3" state="visible" r:id="rId3"/>
  </sheets>
  <definedNames>
    <definedName name="_xlnm._FilterDatabase" localSheetId="1" hidden="1">'Prospects'!$A$4:$U$124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41010"/>
      <sz val="16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2EDE4"/>
      <sz val="10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2E7D92"/>
      </patternFill>
    </fill>
    <fill>
      <patternFill patternType="solid">
        <fgColor rgb="006B1D22"/>
      </patternFill>
    </fill>
    <fill>
      <patternFill patternType="solid">
        <fgColor rgb="00141010"/>
      </patternFill>
    </fill>
    <fill>
      <patternFill patternType="solid">
        <fgColor rgb="00EDEDE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3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3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  <xf numFmtId="164" fontId="8" fillId="6" borderId="1" applyAlignment="1" pivotButton="0" quotePrefix="0" xfId="0">
      <alignment vertical="top"/>
    </xf>
    <xf numFmtId="164" fontId="8" fillId="5" borderId="1" applyAlignment="1" pivotButton="0" quotePrefix="0" xfId="0">
      <alignment vertical="top"/>
    </xf>
    <xf numFmtId="0" fontId="4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CUBA B459 — Podcast Guest &amp; Influencer Outreach Tracker</t>
        </is>
      </c>
    </row>
    <row r="2">
      <c r="A2" s="2" t="inlineStr">
        <is>
          <t>Built for the 990 AM podcast launch. Work the Prospects tab; the Dashboard reads from it automatically.</t>
        </is>
      </c>
    </row>
    <row r="3">
      <c r="A3" s="3" t="inlineStr"/>
    </row>
    <row r="4">
      <c r="A4" s="4" t="inlineStr">
        <is>
          <t>HOW TO USE THIS FILE</t>
        </is>
      </c>
    </row>
    <row r="5">
      <c r="A5" s="5" t="inlineStr">
        <is>
          <t>1. Fill in one row per prospect on the Prospects tab. Yellow cells are the ones you type into.</t>
        </is>
      </c>
    </row>
    <row r="6">
      <c r="A6" s="5" t="inlineStr">
        <is>
          <t>2. Columns with a drop-down (Tier, Category, Language, Owner, Status, Channel) must use the list — the Dashboard counts on exact values.</t>
        </is>
      </c>
    </row>
    <row r="7">
      <c r="A7" s="5" t="inlineStr">
        <is>
          <t>3. Grey columns (Follow-Up Due, Days Since Contact) are formulas. Do not type in them.</t>
        </is>
      </c>
    </row>
    <row r="8">
      <c r="A8" s="5" t="inlineStr">
        <is>
          <t>4. Row 6 on Prospects is a filled-in EXAMPLE showing the expected format. Delete it once you start.</t>
        </is>
      </c>
    </row>
    <row r="9">
      <c r="A9" s="5" t="inlineStr">
        <is>
          <t>5. The Dashboard updates itself. Do not edit it.</t>
        </is>
      </c>
    </row>
    <row r="10">
      <c r="A10" s="3" t="inlineStr"/>
    </row>
    <row r="11">
      <c r="A11" s="4" t="inlineStr">
        <is>
          <t>THE THREE TIERS</t>
        </is>
      </c>
    </row>
    <row r="12">
      <c r="A12" s="5" t="inlineStr">
        <is>
          <t>Tier 1 — Anchor</t>
        </is>
      </c>
    </row>
    <row r="13">
      <c r="A13" s="3" t="inlineStr">
        <is>
          <t>Nationally known voices. 100k+ reach. Expect a booking agent or press contact, and a low reply rate. Book 2–3 per quarter; each one legitimises the show for everyone below.</t>
        </is>
      </c>
    </row>
    <row r="14">
      <c r="A14" s="5" t="inlineStr">
        <is>
          <t>Tier 2 — Core</t>
        </is>
      </c>
    </row>
    <row r="15">
      <c r="A15" s="3" t="inlineStr">
        <is>
          <t>Journalists, musicians, academics, mid-size creators, 10k–100k. This is the engine of the show. Highest reply rate relative to reach. Aim for most bookings here.</t>
        </is>
      </c>
    </row>
    <row r="16">
      <c r="A16" s="5" t="inlineStr">
        <is>
          <t>Tier 3 — Community</t>
        </is>
      </c>
    </row>
    <row r="17">
      <c r="A17" s="3" t="inlineStr">
        <is>
          <t>Micro-creators, local Miami figures, exile-community organisers, under 10k. Reply and share at the highest rate, and their audiences are the most engaged. Cheapest reach you will ever get.</t>
        </is>
      </c>
    </row>
    <row r="18">
      <c r="A18" s="3" t="inlineStr"/>
    </row>
    <row r="19">
      <c r="A19" s="4" t="inlineStr">
        <is>
          <t>WHERE TO FIND PUBLIC CONTACT DETAILS — legitimately</t>
        </is>
      </c>
    </row>
    <row r="20">
      <c r="A20" s="6" t="inlineStr">
        <is>
          <t>Do NOT scrape Instagram. It breaks Meta's terms, and mailing harvested addresses will get the CubaB459 domain flagged as spam right when you need it delivering.</t>
        </is>
      </c>
    </row>
    <row r="21">
      <c r="A21" s="5" t="inlineStr">
        <is>
          <t>Use these instead. Every one is a contact the person has published because they WANT to be reached:</t>
        </is>
      </c>
    </row>
    <row r="22">
      <c r="A22" s="3" t="inlineStr">
        <is>
          <t>• The 'Email' button on an Instagram professional account — that address is published on purpose.</t>
        </is>
      </c>
    </row>
    <row r="23">
      <c r="A23" s="3" t="inlineStr">
        <is>
          <t>• Link-in-bio pages (Linktree, Beacons) — press kits and booking forms live there.</t>
        </is>
      </c>
    </row>
    <row r="24">
      <c r="A24" s="3" t="inlineStr">
        <is>
          <t>• The person's own website: /contact, /press, /booking, /epk.</t>
        </is>
      </c>
    </row>
    <row r="25">
      <c r="A25" s="3" t="inlineStr">
        <is>
          <t>• YouTube channel → About tab → 'View email address' (business enquiries).</t>
        </is>
      </c>
    </row>
    <row r="26">
      <c r="A26" s="3" t="inlineStr">
        <is>
          <t>• Substack / newsletter reply addresses.</t>
        </is>
      </c>
    </row>
    <row r="27">
      <c r="A27" s="3" t="inlineStr">
        <is>
          <t>• Newsroom staff directories for journalists.</t>
        </is>
      </c>
    </row>
    <row r="28">
      <c r="A28" s="3" t="inlineStr">
        <is>
          <t>• Booking agent or publicist named in a recent article or podcast appearance.</t>
        </is>
      </c>
    </row>
    <row r="29">
      <c r="A29" s="3" t="inlineStr">
        <is>
          <t>• Warm intros from Tony's radio network — 30 years and 24 stations. Work this FIRST; it beats every cold list.</t>
        </is>
      </c>
    </row>
    <row r="30">
      <c r="A30" s="3" t="inlineStr"/>
    </row>
    <row r="31">
      <c r="A31" s="4" t="inlineStr">
        <is>
          <t>RULES THAT KEEP YOU OUT OF TROUBLE</t>
        </is>
      </c>
    </row>
    <row r="32">
      <c r="A32" s="3" t="inlineStr">
        <is>
          <t>• Every marketing email needs a real physical mailing address and a working unsubscribe link (CAN-SPAM). Use the station's address.</t>
        </is>
      </c>
    </row>
    <row r="33">
      <c r="A33" s="3" t="inlineStr">
        <is>
          <t>• A one-to-one, personally written booking invitation is not a marketing blast. Keep it that way: no BCC lists, no mail-merge blasts to cold addresses.</t>
        </is>
      </c>
    </row>
    <row r="34">
      <c r="A34" s="3" t="inlineStr">
        <is>
          <t>• Honour an opt-out within 10 business days, permanently.</t>
        </is>
      </c>
    </row>
    <row r="35">
      <c r="A35" s="3" t="inlineStr">
        <is>
          <t>• Paid social about Cuba policy is classed as social-issue advertising by Meta. It needs advertiser verification and a 'Paid for by' disclaimer BEFORE it will run. Start that verification early — it takes days.</t>
        </is>
      </c>
    </row>
    <row r="36">
      <c r="A36" s="3" t="inlineStr">
        <is>
          <t>• Sponsored content aired on 990 AM needs on-air sponsorship identification (FCC).</t>
        </is>
      </c>
    </row>
    <row r="37">
      <c r="A37" s="3" t="inlineStr"/>
    </row>
    <row r="38">
      <c r="A38" s="4" t="inlineStr">
        <is>
          <t>CADENCE THAT WORKS</t>
        </is>
      </c>
    </row>
    <row r="39">
      <c r="A39" s="3" t="inlineStr">
        <is>
          <t>Touch 1 — the invitation. Touch 2 — follow up after 5 business days. Touch 3 — final note after another 7. Then stop and mark 'No Response'.</t>
        </is>
      </c>
    </row>
    <row r="40">
      <c r="A40" s="3" t="inlineStr">
        <is>
          <t>Three touches, then leave them alone. Someone who ignored three is not going to say yes to a fourth, and persistence past that costs you the relationship.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3" customWidth="1" min="4" max="4"/>
    <col width="11" customWidth="1" min="5" max="5"/>
    <col width="15" customWidth="1" min="6" max="6"/>
    <col width="16" customWidth="1" min="7" max="7"/>
    <col width="12" customWidth="1" min="8" max="8"/>
    <col width="16" customWidth="1" min="9" max="9"/>
    <col width="40" customWidth="1" min="10" max="10"/>
    <col width="26" customWidth="1" min="11" max="11"/>
    <col width="22" customWidth="1" min="12" max="12"/>
    <col width="12" customWidth="1" min="13" max="13"/>
    <col width="15" customWidth="1" min="14" max="14"/>
    <col width="14" customWidth="1" min="15" max="15"/>
    <col width="13" customWidth="1" min="16" max="16"/>
    <col width="12" customWidth="1" min="17" max="17"/>
    <col width="13" customWidth="1" min="18" max="18"/>
    <col width="11" customWidth="1" min="19" max="19"/>
    <col width="12" customWidth="1" min="20" max="20"/>
    <col width="44" customWidth="1" min="21" max="21"/>
  </cols>
  <sheetData>
    <row r="1">
      <c r="A1" s="7" t="inlineStr">
        <is>
          <t>PROSPECTS — one row per person</t>
        </is>
      </c>
    </row>
    <row r="2">
      <c r="A2" s="8" t="inlineStr">
        <is>
          <t>Yellow = you type here.   Grey = formula, leave alone.   Row 6 is an example — delete it when you start.</t>
        </is>
      </c>
    </row>
    <row r="4" ht="30" customHeight="1">
      <c r="A4" s="9" t="inlineStr">
        <is>
          <t>ID</t>
        </is>
      </c>
      <c r="B4" s="9" t="inlineStr">
        <is>
          <t>Name</t>
        </is>
      </c>
      <c r="C4" s="9" t="inlineStr">
        <is>
          <t>Handle</t>
        </is>
      </c>
      <c r="D4" s="9" t="inlineStr">
        <is>
          <t>Platform</t>
        </is>
      </c>
      <c r="E4" s="9" t="inlineStr">
        <is>
          <t>Followers</t>
        </is>
      </c>
      <c r="F4" s="9" t="inlineStr">
        <is>
          <t>Tier</t>
        </is>
      </c>
      <c r="G4" s="9" t="inlineStr">
        <is>
          <t>Category</t>
        </is>
      </c>
      <c r="H4" s="9" t="inlineStr">
        <is>
          <t>Language</t>
        </is>
      </c>
      <c r="I4" s="9" t="inlineStr">
        <is>
          <t>Location</t>
        </is>
      </c>
      <c r="J4" s="9" t="inlineStr">
        <is>
          <t>Why Them (1 line)</t>
        </is>
      </c>
      <c r="K4" s="9" t="inlineStr">
        <is>
          <t>Public Contact</t>
        </is>
      </c>
      <c r="L4" s="9" t="inlineStr">
        <is>
          <t>Where Contact Came From</t>
        </is>
      </c>
      <c r="M4" s="9" t="inlineStr">
        <is>
          <t>Owner</t>
        </is>
      </c>
      <c r="N4" s="9" t="inlineStr">
        <is>
          <t>Status</t>
        </is>
      </c>
      <c r="O4" s="9" t="inlineStr">
        <is>
          <t>Date Contacted</t>
        </is>
      </c>
      <c r="P4" s="9" t="inlineStr">
        <is>
          <t>Date Replied</t>
        </is>
      </c>
      <c r="Q4" s="9" t="inlineStr">
        <is>
          <t>Days Since Contact</t>
        </is>
      </c>
      <c r="R4" s="9" t="inlineStr">
        <is>
          <t>Follow-Up Due</t>
        </is>
      </c>
      <c r="S4" s="9" t="inlineStr">
        <is>
          <t>Channel</t>
        </is>
      </c>
      <c r="T4" s="9" t="inlineStr">
        <is>
          <t>Promoted Us?</t>
        </is>
      </c>
      <c r="U4" s="9" t="inlineStr">
        <is>
          <t>Notes</t>
        </is>
      </c>
    </row>
    <row r="5">
      <c r="A5" s="10">
        <f>IF(B5="","",ROW()-4)</f>
        <v/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3" t="n"/>
      <c r="K5" s="11" t="n"/>
      <c r="L5" s="11" t="n"/>
      <c r="M5" s="11" t="n"/>
      <c r="N5" s="11" t="n"/>
      <c r="O5" s="14" t="n"/>
      <c r="P5" s="14" t="n"/>
      <c r="Q5" s="10">
        <f>IF(O5="","",IF(P5&lt;&gt;"","replied",TODAY()-O5))</f>
        <v/>
      </c>
      <c r="R5" s="15">
        <f>IF(O5="","",IF(P5&lt;&gt;"","-",O5+7))</f>
        <v/>
      </c>
      <c r="S5" s="11" t="n"/>
      <c r="T5" s="11" t="n"/>
      <c r="U5" s="13" t="n"/>
    </row>
    <row r="6">
      <c r="A6" s="16">
        <f>IF(B6="","",ROW()-4)</f>
        <v/>
      </c>
      <c r="B6" s="17" t="inlineStr">
        <is>
          <t>EXAMPLE — delete this row</t>
        </is>
      </c>
      <c r="C6" s="17" t="inlineStr">
        <is>
          <t>@examplehandle</t>
        </is>
      </c>
      <c r="D6" s="17" t="inlineStr">
        <is>
          <t>Instagram</t>
        </is>
      </c>
      <c r="E6" s="18" t="n">
        <v>48000</v>
      </c>
      <c r="F6" s="17" t="inlineStr">
        <is>
          <t>Tier 2 - Core</t>
        </is>
      </c>
      <c r="G6" s="17" t="inlineStr">
        <is>
          <t>Journalist</t>
        </is>
      </c>
      <c r="H6" s="17" t="inlineStr">
        <is>
          <t>Bilingual</t>
        </is>
      </c>
      <c r="I6" s="17" t="inlineStr">
        <is>
          <t>Miami, FL</t>
        </is>
      </c>
      <c r="J6" s="19" t="inlineStr">
        <is>
          <t>Covers Cuban exile politics; interviewed 11J organisers in 2024.</t>
        </is>
      </c>
      <c r="K6" s="17" t="inlineStr">
        <is>
          <t>press@example.com</t>
        </is>
      </c>
      <c r="L6" s="17" t="inlineStr">
        <is>
          <t>Press page on own site</t>
        </is>
      </c>
      <c r="M6" s="17" t="inlineStr">
        <is>
          <t>Pedro</t>
        </is>
      </c>
      <c r="N6" s="17" t="inlineStr">
        <is>
          <t>Contacted</t>
        </is>
      </c>
      <c r="O6" s="20" t="n">
        <v>46255</v>
      </c>
      <c r="P6" s="20" t="n"/>
      <c r="Q6" s="16">
        <f>IF(O6="","",IF(P6&lt;&gt;"","replied",TODAY()-O6))</f>
        <v/>
      </c>
      <c r="R6" s="21">
        <f>IF(O6="","",IF(P6&lt;&gt;"","-",O6+7))</f>
        <v/>
      </c>
      <c r="S6" s="17" t="inlineStr">
        <is>
          <t>Email</t>
        </is>
      </c>
      <c r="T6" s="17" t="inlineStr">
        <is>
          <t>Not Yet</t>
        </is>
      </c>
      <c r="U6" s="19" t="inlineStr">
        <is>
          <t>Asked for a one-pager before committing. Send EPK + episode outline.</t>
        </is>
      </c>
    </row>
    <row r="7">
      <c r="A7" s="10">
        <f>IF(B7="","",ROW()-4)</f>
        <v/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3" t="n"/>
      <c r="K7" s="11" t="n"/>
      <c r="L7" s="11" t="n"/>
      <c r="M7" s="11" t="n"/>
      <c r="N7" s="11" t="n"/>
      <c r="O7" s="14" t="n"/>
      <c r="P7" s="14" t="n"/>
      <c r="Q7" s="10">
        <f>IF(O7="","",IF(P7&lt;&gt;"","replied",TODAY()-O7))</f>
        <v/>
      </c>
      <c r="R7" s="15">
        <f>IF(O7="","",IF(P7&lt;&gt;"","-",O7+7))</f>
        <v/>
      </c>
      <c r="S7" s="11" t="n"/>
      <c r="T7" s="11" t="n"/>
      <c r="U7" s="13" t="n"/>
    </row>
    <row r="8">
      <c r="A8" s="10">
        <f>IF(B8="","",ROW()-4)</f>
        <v/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3" t="n"/>
      <c r="K8" s="11" t="n"/>
      <c r="L8" s="11" t="n"/>
      <c r="M8" s="11" t="n"/>
      <c r="N8" s="11" t="n"/>
      <c r="O8" s="14" t="n"/>
      <c r="P8" s="14" t="n"/>
      <c r="Q8" s="10">
        <f>IF(O8="","",IF(P8&lt;&gt;"","replied",TODAY()-O8))</f>
        <v/>
      </c>
      <c r="R8" s="15">
        <f>IF(O8="","",IF(P8&lt;&gt;"","-",O8+7))</f>
        <v/>
      </c>
      <c r="S8" s="11" t="n"/>
      <c r="T8" s="11" t="n"/>
      <c r="U8" s="13" t="n"/>
    </row>
    <row r="9">
      <c r="A9" s="10">
        <f>IF(B9="","",ROW()-4)</f>
        <v/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3" t="n"/>
      <c r="K9" s="11" t="n"/>
      <c r="L9" s="11" t="n"/>
      <c r="M9" s="11" t="n"/>
      <c r="N9" s="11" t="n"/>
      <c r="O9" s="14" t="n"/>
      <c r="P9" s="14" t="n"/>
      <c r="Q9" s="10">
        <f>IF(O9="","",IF(P9&lt;&gt;"","replied",TODAY()-O9))</f>
        <v/>
      </c>
      <c r="R9" s="15">
        <f>IF(O9="","",IF(P9&lt;&gt;"","-",O9+7))</f>
        <v/>
      </c>
      <c r="S9" s="11" t="n"/>
      <c r="T9" s="11" t="n"/>
      <c r="U9" s="13" t="n"/>
    </row>
    <row r="10">
      <c r="A10" s="10">
        <f>IF(B10="","",ROW()-4)</f>
        <v/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3" t="n"/>
      <c r="K10" s="11" t="n"/>
      <c r="L10" s="11" t="n"/>
      <c r="M10" s="11" t="n"/>
      <c r="N10" s="11" t="n"/>
      <c r="O10" s="14" t="n"/>
      <c r="P10" s="14" t="n"/>
      <c r="Q10" s="10">
        <f>IF(O10="","",IF(P10&lt;&gt;"","replied",TODAY()-O10))</f>
        <v/>
      </c>
      <c r="R10" s="15">
        <f>IF(O10="","",IF(P10&lt;&gt;"","-",O10+7))</f>
        <v/>
      </c>
      <c r="S10" s="11" t="n"/>
      <c r="T10" s="11" t="n"/>
      <c r="U10" s="13" t="n"/>
    </row>
    <row r="11">
      <c r="A11" s="10">
        <f>IF(B11="","",ROW()-4)</f>
        <v/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3" t="n"/>
      <c r="K11" s="11" t="n"/>
      <c r="L11" s="11" t="n"/>
      <c r="M11" s="11" t="n"/>
      <c r="N11" s="11" t="n"/>
      <c r="O11" s="14" t="n"/>
      <c r="P11" s="14" t="n"/>
      <c r="Q11" s="10">
        <f>IF(O11="","",IF(P11&lt;&gt;"","replied",TODAY()-O11))</f>
        <v/>
      </c>
      <c r="R11" s="15">
        <f>IF(O11="","",IF(P11&lt;&gt;"","-",O11+7))</f>
        <v/>
      </c>
      <c r="S11" s="11" t="n"/>
      <c r="T11" s="11" t="n"/>
      <c r="U11" s="13" t="n"/>
    </row>
    <row r="12">
      <c r="A12" s="10">
        <f>IF(B12="","",ROW()-4)</f>
        <v/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3" t="n"/>
      <c r="K12" s="11" t="n"/>
      <c r="L12" s="11" t="n"/>
      <c r="M12" s="11" t="n"/>
      <c r="N12" s="11" t="n"/>
      <c r="O12" s="14" t="n"/>
      <c r="P12" s="14" t="n"/>
      <c r="Q12" s="10">
        <f>IF(O12="","",IF(P12&lt;&gt;"","replied",TODAY()-O12))</f>
        <v/>
      </c>
      <c r="R12" s="15">
        <f>IF(O12="","",IF(P12&lt;&gt;"","-",O12+7))</f>
        <v/>
      </c>
      <c r="S12" s="11" t="n"/>
      <c r="T12" s="11" t="n"/>
      <c r="U12" s="13" t="n"/>
    </row>
    <row r="13">
      <c r="A13" s="10">
        <f>IF(B13="","",ROW()-4)</f>
        <v/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3" t="n"/>
      <c r="K13" s="11" t="n"/>
      <c r="L13" s="11" t="n"/>
      <c r="M13" s="11" t="n"/>
      <c r="N13" s="11" t="n"/>
      <c r="O13" s="14" t="n"/>
      <c r="P13" s="14" t="n"/>
      <c r="Q13" s="10">
        <f>IF(O13="","",IF(P13&lt;&gt;"","replied",TODAY()-O13))</f>
        <v/>
      </c>
      <c r="R13" s="15">
        <f>IF(O13="","",IF(P13&lt;&gt;"","-",O13+7))</f>
        <v/>
      </c>
      <c r="S13" s="11" t="n"/>
      <c r="T13" s="11" t="n"/>
      <c r="U13" s="13" t="n"/>
    </row>
    <row r="14">
      <c r="A14" s="10">
        <f>IF(B14="","",ROW()-4)</f>
        <v/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3" t="n"/>
      <c r="K14" s="11" t="n"/>
      <c r="L14" s="11" t="n"/>
      <c r="M14" s="11" t="n"/>
      <c r="N14" s="11" t="n"/>
      <c r="O14" s="14" t="n"/>
      <c r="P14" s="14" t="n"/>
      <c r="Q14" s="10">
        <f>IF(O14="","",IF(P14&lt;&gt;"","replied",TODAY()-O14))</f>
        <v/>
      </c>
      <c r="R14" s="15">
        <f>IF(O14="","",IF(P14&lt;&gt;"","-",O14+7))</f>
        <v/>
      </c>
      <c r="S14" s="11" t="n"/>
      <c r="T14" s="11" t="n"/>
      <c r="U14" s="13" t="n"/>
    </row>
    <row r="15">
      <c r="A15" s="10">
        <f>IF(B15="","",ROW()-4)</f>
        <v/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3" t="n"/>
      <c r="K15" s="11" t="n"/>
      <c r="L15" s="11" t="n"/>
      <c r="M15" s="11" t="n"/>
      <c r="N15" s="11" t="n"/>
      <c r="O15" s="14" t="n"/>
      <c r="P15" s="14" t="n"/>
      <c r="Q15" s="10">
        <f>IF(O15="","",IF(P15&lt;&gt;"","replied",TODAY()-O15))</f>
        <v/>
      </c>
      <c r="R15" s="15">
        <f>IF(O15="","",IF(P15&lt;&gt;"","-",O15+7))</f>
        <v/>
      </c>
      <c r="S15" s="11" t="n"/>
      <c r="T15" s="11" t="n"/>
      <c r="U15" s="13" t="n"/>
    </row>
    <row r="16">
      <c r="A16" s="10">
        <f>IF(B16="","",ROW()-4)</f>
        <v/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3" t="n"/>
      <c r="K16" s="11" t="n"/>
      <c r="L16" s="11" t="n"/>
      <c r="M16" s="11" t="n"/>
      <c r="N16" s="11" t="n"/>
      <c r="O16" s="14" t="n"/>
      <c r="P16" s="14" t="n"/>
      <c r="Q16" s="10">
        <f>IF(O16="","",IF(P16&lt;&gt;"","replied",TODAY()-O16))</f>
        <v/>
      </c>
      <c r="R16" s="15">
        <f>IF(O16="","",IF(P16&lt;&gt;"","-",O16+7))</f>
        <v/>
      </c>
      <c r="S16" s="11" t="n"/>
      <c r="T16" s="11" t="n"/>
      <c r="U16" s="13" t="n"/>
    </row>
    <row r="17">
      <c r="A17" s="10">
        <f>IF(B17="","",ROW()-4)</f>
        <v/>
      </c>
      <c r="B17" s="11" t="n"/>
      <c r="C17" s="11" t="n"/>
      <c r="D17" s="11" t="n"/>
      <c r="E17" s="12" t="n"/>
      <c r="F17" s="11" t="n"/>
      <c r="G17" s="11" t="n"/>
      <c r="H17" s="11" t="n"/>
      <c r="I17" s="11" t="n"/>
      <c r="J17" s="13" t="n"/>
      <c r="K17" s="11" t="n"/>
      <c r="L17" s="11" t="n"/>
      <c r="M17" s="11" t="n"/>
      <c r="N17" s="11" t="n"/>
      <c r="O17" s="14" t="n"/>
      <c r="P17" s="14" t="n"/>
      <c r="Q17" s="10">
        <f>IF(O17="","",IF(P17&lt;&gt;"","replied",TODAY()-O17))</f>
        <v/>
      </c>
      <c r="R17" s="15">
        <f>IF(O17="","",IF(P17&lt;&gt;"","-",O17+7))</f>
        <v/>
      </c>
      <c r="S17" s="11" t="n"/>
      <c r="T17" s="11" t="n"/>
      <c r="U17" s="13" t="n"/>
    </row>
    <row r="18">
      <c r="A18" s="10">
        <f>IF(B18="","",ROW()-4)</f>
        <v/>
      </c>
      <c r="B18" s="11" t="n"/>
      <c r="C18" s="11" t="n"/>
      <c r="D18" s="11" t="n"/>
      <c r="E18" s="12" t="n"/>
      <c r="F18" s="11" t="n"/>
      <c r="G18" s="11" t="n"/>
      <c r="H18" s="11" t="n"/>
      <c r="I18" s="11" t="n"/>
      <c r="J18" s="13" t="n"/>
      <c r="K18" s="11" t="n"/>
      <c r="L18" s="11" t="n"/>
      <c r="M18" s="11" t="n"/>
      <c r="N18" s="11" t="n"/>
      <c r="O18" s="14" t="n"/>
      <c r="P18" s="14" t="n"/>
      <c r="Q18" s="10">
        <f>IF(O18="","",IF(P18&lt;&gt;"","replied",TODAY()-O18))</f>
        <v/>
      </c>
      <c r="R18" s="15">
        <f>IF(O18="","",IF(P18&lt;&gt;"","-",O18+7))</f>
        <v/>
      </c>
      <c r="S18" s="11" t="n"/>
      <c r="T18" s="11" t="n"/>
      <c r="U18" s="13" t="n"/>
    </row>
    <row r="19">
      <c r="A19" s="10">
        <f>IF(B19="","",ROW()-4)</f>
        <v/>
      </c>
      <c r="B19" s="11" t="n"/>
      <c r="C19" s="11" t="n"/>
      <c r="D19" s="11" t="n"/>
      <c r="E19" s="12" t="n"/>
      <c r="F19" s="11" t="n"/>
      <c r="G19" s="11" t="n"/>
      <c r="H19" s="11" t="n"/>
      <c r="I19" s="11" t="n"/>
      <c r="J19" s="13" t="n"/>
      <c r="K19" s="11" t="n"/>
      <c r="L19" s="11" t="n"/>
      <c r="M19" s="11" t="n"/>
      <c r="N19" s="11" t="n"/>
      <c r="O19" s="14" t="n"/>
      <c r="P19" s="14" t="n"/>
      <c r="Q19" s="10">
        <f>IF(O19="","",IF(P19&lt;&gt;"","replied",TODAY()-O19))</f>
        <v/>
      </c>
      <c r="R19" s="15">
        <f>IF(O19="","",IF(P19&lt;&gt;"","-",O19+7))</f>
        <v/>
      </c>
      <c r="S19" s="11" t="n"/>
      <c r="T19" s="11" t="n"/>
      <c r="U19" s="13" t="n"/>
    </row>
    <row r="20">
      <c r="A20" s="10">
        <f>IF(B20="","",ROW()-4)</f>
        <v/>
      </c>
      <c r="B20" s="11" t="n"/>
      <c r="C20" s="11" t="n"/>
      <c r="D20" s="11" t="n"/>
      <c r="E20" s="12" t="n"/>
      <c r="F20" s="11" t="n"/>
      <c r="G20" s="11" t="n"/>
      <c r="H20" s="11" t="n"/>
      <c r="I20" s="11" t="n"/>
      <c r="J20" s="13" t="n"/>
      <c r="K20" s="11" t="n"/>
      <c r="L20" s="11" t="n"/>
      <c r="M20" s="11" t="n"/>
      <c r="N20" s="11" t="n"/>
      <c r="O20" s="14" t="n"/>
      <c r="P20" s="14" t="n"/>
      <c r="Q20" s="10">
        <f>IF(O20="","",IF(P20&lt;&gt;"","replied",TODAY()-O20))</f>
        <v/>
      </c>
      <c r="R20" s="15">
        <f>IF(O20="","",IF(P20&lt;&gt;"","-",O20+7))</f>
        <v/>
      </c>
      <c r="S20" s="11" t="n"/>
      <c r="T20" s="11" t="n"/>
      <c r="U20" s="13" t="n"/>
    </row>
    <row r="21">
      <c r="A21" s="10">
        <f>IF(B21="","",ROW()-4)</f>
        <v/>
      </c>
      <c r="B21" s="11" t="n"/>
      <c r="C21" s="11" t="n"/>
      <c r="D21" s="11" t="n"/>
      <c r="E21" s="12" t="n"/>
      <c r="F21" s="11" t="n"/>
      <c r="G21" s="11" t="n"/>
      <c r="H21" s="11" t="n"/>
      <c r="I21" s="11" t="n"/>
      <c r="J21" s="13" t="n"/>
      <c r="K21" s="11" t="n"/>
      <c r="L21" s="11" t="n"/>
      <c r="M21" s="11" t="n"/>
      <c r="N21" s="11" t="n"/>
      <c r="O21" s="14" t="n"/>
      <c r="P21" s="14" t="n"/>
      <c r="Q21" s="10">
        <f>IF(O21="","",IF(P21&lt;&gt;"","replied",TODAY()-O21))</f>
        <v/>
      </c>
      <c r="R21" s="15">
        <f>IF(O21="","",IF(P21&lt;&gt;"","-",O21+7))</f>
        <v/>
      </c>
      <c r="S21" s="11" t="n"/>
      <c r="T21" s="11" t="n"/>
      <c r="U21" s="13" t="n"/>
    </row>
    <row r="22">
      <c r="A22" s="10">
        <f>IF(B22="","",ROW()-4)</f>
        <v/>
      </c>
      <c r="B22" s="11" t="n"/>
      <c r="C22" s="11" t="n"/>
      <c r="D22" s="11" t="n"/>
      <c r="E22" s="12" t="n"/>
      <c r="F22" s="11" t="n"/>
      <c r="G22" s="11" t="n"/>
      <c r="H22" s="11" t="n"/>
      <c r="I22" s="11" t="n"/>
      <c r="J22" s="13" t="n"/>
      <c r="K22" s="11" t="n"/>
      <c r="L22" s="11" t="n"/>
      <c r="M22" s="11" t="n"/>
      <c r="N22" s="11" t="n"/>
      <c r="O22" s="14" t="n"/>
      <c r="P22" s="14" t="n"/>
      <c r="Q22" s="10">
        <f>IF(O22="","",IF(P22&lt;&gt;"","replied",TODAY()-O22))</f>
        <v/>
      </c>
      <c r="R22" s="15">
        <f>IF(O22="","",IF(P22&lt;&gt;"","-",O22+7))</f>
        <v/>
      </c>
      <c r="S22" s="11" t="n"/>
      <c r="T22" s="11" t="n"/>
      <c r="U22" s="13" t="n"/>
    </row>
    <row r="23">
      <c r="A23" s="10">
        <f>IF(B23="","",ROW()-4)</f>
        <v/>
      </c>
      <c r="B23" s="11" t="n"/>
      <c r="C23" s="11" t="n"/>
      <c r="D23" s="11" t="n"/>
      <c r="E23" s="12" t="n"/>
      <c r="F23" s="11" t="n"/>
      <c r="G23" s="11" t="n"/>
      <c r="H23" s="11" t="n"/>
      <c r="I23" s="11" t="n"/>
      <c r="J23" s="13" t="n"/>
      <c r="K23" s="11" t="n"/>
      <c r="L23" s="11" t="n"/>
      <c r="M23" s="11" t="n"/>
      <c r="N23" s="11" t="n"/>
      <c r="O23" s="14" t="n"/>
      <c r="P23" s="14" t="n"/>
      <c r="Q23" s="10">
        <f>IF(O23="","",IF(P23&lt;&gt;"","replied",TODAY()-O23))</f>
        <v/>
      </c>
      <c r="R23" s="15">
        <f>IF(O23="","",IF(P23&lt;&gt;"","-",O23+7))</f>
        <v/>
      </c>
      <c r="S23" s="11" t="n"/>
      <c r="T23" s="11" t="n"/>
      <c r="U23" s="13" t="n"/>
    </row>
    <row r="24">
      <c r="A24" s="10">
        <f>IF(B24="","",ROW()-4)</f>
        <v/>
      </c>
      <c r="B24" s="11" t="n"/>
      <c r="C24" s="11" t="n"/>
      <c r="D24" s="11" t="n"/>
      <c r="E24" s="12" t="n"/>
      <c r="F24" s="11" t="n"/>
      <c r="G24" s="11" t="n"/>
      <c r="H24" s="11" t="n"/>
      <c r="I24" s="11" t="n"/>
      <c r="J24" s="13" t="n"/>
      <c r="K24" s="11" t="n"/>
      <c r="L24" s="11" t="n"/>
      <c r="M24" s="11" t="n"/>
      <c r="N24" s="11" t="n"/>
      <c r="O24" s="14" t="n"/>
      <c r="P24" s="14" t="n"/>
      <c r="Q24" s="10">
        <f>IF(O24="","",IF(P24&lt;&gt;"","replied",TODAY()-O24))</f>
        <v/>
      </c>
      <c r="R24" s="15">
        <f>IF(O24="","",IF(P24&lt;&gt;"","-",O24+7))</f>
        <v/>
      </c>
      <c r="S24" s="11" t="n"/>
      <c r="T24" s="11" t="n"/>
      <c r="U24" s="13" t="n"/>
    </row>
    <row r="25">
      <c r="A25" s="10">
        <f>IF(B25="","",ROW()-4)</f>
        <v/>
      </c>
      <c r="B25" s="11" t="n"/>
      <c r="C25" s="11" t="n"/>
      <c r="D25" s="11" t="n"/>
      <c r="E25" s="12" t="n"/>
      <c r="F25" s="11" t="n"/>
      <c r="G25" s="11" t="n"/>
      <c r="H25" s="11" t="n"/>
      <c r="I25" s="11" t="n"/>
      <c r="J25" s="13" t="n"/>
      <c r="K25" s="11" t="n"/>
      <c r="L25" s="11" t="n"/>
      <c r="M25" s="11" t="n"/>
      <c r="N25" s="11" t="n"/>
      <c r="O25" s="14" t="n"/>
      <c r="P25" s="14" t="n"/>
      <c r="Q25" s="10">
        <f>IF(O25="","",IF(P25&lt;&gt;"","replied",TODAY()-O25))</f>
        <v/>
      </c>
      <c r="R25" s="15">
        <f>IF(O25="","",IF(P25&lt;&gt;"","-",O25+7))</f>
        <v/>
      </c>
      <c r="S25" s="11" t="n"/>
      <c r="T25" s="11" t="n"/>
      <c r="U25" s="13" t="n"/>
    </row>
    <row r="26">
      <c r="A26" s="10">
        <f>IF(B26="","",ROW()-4)</f>
        <v/>
      </c>
      <c r="B26" s="11" t="n"/>
      <c r="C26" s="11" t="n"/>
      <c r="D26" s="11" t="n"/>
      <c r="E26" s="12" t="n"/>
      <c r="F26" s="11" t="n"/>
      <c r="G26" s="11" t="n"/>
      <c r="H26" s="11" t="n"/>
      <c r="I26" s="11" t="n"/>
      <c r="J26" s="13" t="n"/>
      <c r="K26" s="11" t="n"/>
      <c r="L26" s="11" t="n"/>
      <c r="M26" s="11" t="n"/>
      <c r="N26" s="11" t="n"/>
      <c r="O26" s="14" t="n"/>
      <c r="P26" s="14" t="n"/>
      <c r="Q26" s="10">
        <f>IF(O26="","",IF(P26&lt;&gt;"","replied",TODAY()-O26))</f>
        <v/>
      </c>
      <c r="R26" s="15">
        <f>IF(O26="","",IF(P26&lt;&gt;"","-",O26+7))</f>
        <v/>
      </c>
      <c r="S26" s="11" t="n"/>
      <c r="T26" s="11" t="n"/>
      <c r="U26" s="13" t="n"/>
    </row>
    <row r="27">
      <c r="A27" s="10">
        <f>IF(B27="","",ROW()-4)</f>
        <v/>
      </c>
      <c r="B27" s="11" t="n"/>
      <c r="C27" s="11" t="n"/>
      <c r="D27" s="11" t="n"/>
      <c r="E27" s="12" t="n"/>
      <c r="F27" s="11" t="n"/>
      <c r="G27" s="11" t="n"/>
      <c r="H27" s="11" t="n"/>
      <c r="I27" s="11" t="n"/>
      <c r="J27" s="13" t="n"/>
      <c r="K27" s="11" t="n"/>
      <c r="L27" s="11" t="n"/>
      <c r="M27" s="11" t="n"/>
      <c r="N27" s="11" t="n"/>
      <c r="O27" s="14" t="n"/>
      <c r="P27" s="14" t="n"/>
      <c r="Q27" s="10">
        <f>IF(O27="","",IF(P27&lt;&gt;"","replied",TODAY()-O27))</f>
        <v/>
      </c>
      <c r="R27" s="15">
        <f>IF(O27="","",IF(P27&lt;&gt;"","-",O27+7))</f>
        <v/>
      </c>
      <c r="S27" s="11" t="n"/>
      <c r="T27" s="11" t="n"/>
      <c r="U27" s="13" t="n"/>
    </row>
    <row r="28">
      <c r="A28" s="10">
        <f>IF(B28="","",ROW()-4)</f>
        <v/>
      </c>
      <c r="B28" s="11" t="n"/>
      <c r="C28" s="11" t="n"/>
      <c r="D28" s="11" t="n"/>
      <c r="E28" s="12" t="n"/>
      <c r="F28" s="11" t="n"/>
      <c r="G28" s="11" t="n"/>
      <c r="H28" s="11" t="n"/>
      <c r="I28" s="11" t="n"/>
      <c r="J28" s="13" t="n"/>
      <c r="K28" s="11" t="n"/>
      <c r="L28" s="11" t="n"/>
      <c r="M28" s="11" t="n"/>
      <c r="N28" s="11" t="n"/>
      <c r="O28" s="14" t="n"/>
      <c r="P28" s="14" t="n"/>
      <c r="Q28" s="10">
        <f>IF(O28="","",IF(P28&lt;&gt;"","replied",TODAY()-O28))</f>
        <v/>
      </c>
      <c r="R28" s="15">
        <f>IF(O28="","",IF(P28&lt;&gt;"","-",O28+7))</f>
        <v/>
      </c>
      <c r="S28" s="11" t="n"/>
      <c r="T28" s="11" t="n"/>
      <c r="U28" s="13" t="n"/>
    </row>
    <row r="29">
      <c r="A29" s="10">
        <f>IF(B29="","",ROW()-4)</f>
        <v/>
      </c>
      <c r="B29" s="11" t="n"/>
      <c r="C29" s="11" t="n"/>
      <c r="D29" s="11" t="n"/>
      <c r="E29" s="12" t="n"/>
      <c r="F29" s="11" t="n"/>
      <c r="G29" s="11" t="n"/>
      <c r="H29" s="11" t="n"/>
      <c r="I29" s="11" t="n"/>
      <c r="J29" s="13" t="n"/>
      <c r="K29" s="11" t="n"/>
      <c r="L29" s="11" t="n"/>
      <c r="M29" s="11" t="n"/>
      <c r="N29" s="11" t="n"/>
      <c r="O29" s="14" t="n"/>
      <c r="P29" s="14" t="n"/>
      <c r="Q29" s="10">
        <f>IF(O29="","",IF(P29&lt;&gt;"","replied",TODAY()-O29))</f>
        <v/>
      </c>
      <c r="R29" s="15">
        <f>IF(O29="","",IF(P29&lt;&gt;"","-",O29+7))</f>
        <v/>
      </c>
      <c r="S29" s="11" t="n"/>
      <c r="T29" s="11" t="n"/>
      <c r="U29" s="13" t="n"/>
    </row>
    <row r="30">
      <c r="A30" s="10">
        <f>IF(B30="","",ROW()-4)</f>
        <v/>
      </c>
      <c r="B30" s="11" t="n"/>
      <c r="C30" s="11" t="n"/>
      <c r="D30" s="11" t="n"/>
      <c r="E30" s="12" t="n"/>
      <c r="F30" s="11" t="n"/>
      <c r="G30" s="11" t="n"/>
      <c r="H30" s="11" t="n"/>
      <c r="I30" s="11" t="n"/>
      <c r="J30" s="13" t="n"/>
      <c r="K30" s="11" t="n"/>
      <c r="L30" s="11" t="n"/>
      <c r="M30" s="11" t="n"/>
      <c r="N30" s="11" t="n"/>
      <c r="O30" s="14" t="n"/>
      <c r="P30" s="14" t="n"/>
      <c r="Q30" s="10">
        <f>IF(O30="","",IF(P30&lt;&gt;"","replied",TODAY()-O30))</f>
        <v/>
      </c>
      <c r="R30" s="15">
        <f>IF(O30="","",IF(P30&lt;&gt;"","-",O30+7))</f>
        <v/>
      </c>
      <c r="S30" s="11" t="n"/>
      <c r="T30" s="11" t="n"/>
      <c r="U30" s="13" t="n"/>
    </row>
    <row r="31">
      <c r="A31" s="10">
        <f>IF(B31="","",ROW()-4)</f>
        <v/>
      </c>
      <c r="B31" s="11" t="n"/>
      <c r="C31" s="11" t="n"/>
      <c r="D31" s="11" t="n"/>
      <c r="E31" s="12" t="n"/>
      <c r="F31" s="11" t="n"/>
      <c r="G31" s="11" t="n"/>
      <c r="H31" s="11" t="n"/>
      <c r="I31" s="11" t="n"/>
      <c r="J31" s="13" t="n"/>
      <c r="K31" s="11" t="n"/>
      <c r="L31" s="11" t="n"/>
      <c r="M31" s="11" t="n"/>
      <c r="N31" s="11" t="n"/>
      <c r="O31" s="14" t="n"/>
      <c r="P31" s="14" t="n"/>
      <c r="Q31" s="10">
        <f>IF(O31="","",IF(P31&lt;&gt;"","replied",TODAY()-O31))</f>
        <v/>
      </c>
      <c r="R31" s="15">
        <f>IF(O31="","",IF(P31&lt;&gt;"","-",O31+7))</f>
        <v/>
      </c>
      <c r="S31" s="11" t="n"/>
      <c r="T31" s="11" t="n"/>
      <c r="U31" s="13" t="n"/>
    </row>
    <row r="32">
      <c r="A32" s="10">
        <f>IF(B32="","",ROW()-4)</f>
        <v/>
      </c>
      <c r="B32" s="11" t="n"/>
      <c r="C32" s="11" t="n"/>
      <c r="D32" s="11" t="n"/>
      <c r="E32" s="12" t="n"/>
      <c r="F32" s="11" t="n"/>
      <c r="G32" s="11" t="n"/>
      <c r="H32" s="11" t="n"/>
      <c r="I32" s="11" t="n"/>
      <c r="J32" s="13" t="n"/>
      <c r="K32" s="11" t="n"/>
      <c r="L32" s="11" t="n"/>
      <c r="M32" s="11" t="n"/>
      <c r="N32" s="11" t="n"/>
      <c r="O32" s="14" t="n"/>
      <c r="P32" s="14" t="n"/>
      <c r="Q32" s="10">
        <f>IF(O32="","",IF(P32&lt;&gt;"","replied",TODAY()-O32))</f>
        <v/>
      </c>
      <c r="R32" s="15">
        <f>IF(O32="","",IF(P32&lt;&gt;"","-",O32+7))</f>
        <v/>
      </c>
      <c r="S32" s="11" t="n"/>
      <c r="T32" s="11" t="n"/>
      <c r="U32" s="13" t="n"/>
    </row>
    <row r="33">
      <c r="A33" s="10">
        <f>IF(B33="","",ROW()-4)</f>
        <v/>
      </c>
      <c r="B33" s="11" t="n"/>
      <c r="C33" s="11" t="n"/>
      <c r="D33" s="11" t="n"/>
      <c r="E33" s="12" t="n"/>
      <c r="F33" s="11" t="n"/>
      <c r="G33" s="11" t="n"/>
      <c r="H33" s="11" t="n"/>
      <c r="I33" s="11" t="n"/>
      <c r="J33" s="13" t="n"/>
      <c r="K33" s="11" t="n"/>
      <c r="L33" s="11" t="n"/>
      <c r="M33" s="11" t="n"/>
      <c r="N33" s="11" t="n"/>
      <c r="O33" s="14" t="n"/>
      <c r="P33" s="14" t="n"/>
      <c r="Q33" s="10">
        <f>IF(O33="","",IF(P33&lt;&gt;"","replied",TODAY()-O33))</f>
        <v/>
      </c>
      <c r="R33" s="15">
        <f>IF(O33="","",IF(P33&lt;&gt;"","-",O33+7))</f>
        <v/>
      </c>
      <c r="S33" s="11" t="n"/>
      <c r="T33" s="11" t="n"/>
      <c r="U33" s="13" t="n"/>
    </row>
    <row r="34">
      <c r="A34" s="10">
        <f>IF(B34="","",ROW()-4)</f>
        <v/>
      </c>
      <c r="B34" s="11" t="n"/>
      <c r="C34" s="11" t="n"/>
      <c r="D34" s="11" t="n"/>
      <c r="E34" s="12" t="n"/>
      <c r="F34" s="11" t="n"/>
      <c r="G34" s="11" t="n"/>
      <c r="H34" s="11" t="n"/>
      <c r="I34" s="11" t="n"/>
      <c r="J34" s="13" t="n"/>
      <c r="K34" s="11" t="n"/>
      <c r="L34" s="11" t="n"/>
      <c r="M34" s="11" t="n"/>
      <c r="N34" s="11" t="n"/>
      <c r="O34" s="14" t="n"/>
      <c r="P34" s="14" t="n"/>
      <c r="Q34" s="10">
        <f>IF(O34="","",IF(P34&lt;&gt;"","replied",TODAY()-O34))</f>
        <v/>
      </c>
      <c r="R34" s="15">
        <f>IF(O34="","",IF(P34&lt;&gt;"","-",O34+7))</f>
        <v/>
      </c>
      <c r="S34" s="11" t="n"/>
      <c r="T34" s="11" t="n"/>
      <c r="U34" s="13" t="n"/>
    </row>
    <row r="35">
      <c r="A35" s="10">
        <f>IF(B35="","",ROW()-4)</f>
        <v/>
      </c>
      <c r="B35" s="11" t="n"/>
      <c r="C35" s="11" t="n"/>
      <c r="D35" s="11" t="n"/>
      <c r="E35" s="12" t="n"/>
      <c r="F35" s="11" t="n"/>
      <c r="G35" s="11" t="n"/>
      <c r="H35" s="11" t="n"/>
      <c r="I35" s="11" t="n"/>
      <c r="J35" s="13" t="n"/>
      <c r="K35" s="11" t="n"/>
      <c r="L35" s="11" t="n"/>
      <c r="M35" s="11" t="n"/>
      <c r="N35" s="11" t="n"/>
      <c r="O35" s="14" t="n"/>
      <c r="P35" s="14" t="n"/>
      <c r="Q35" s="10">
        <f>IF(O35="","",IF(P35&lt;&gt;"","replied",TODAY()-O35))</f>
        <v/>
      </c>
      <c r="R35" s="15">
        <f>IF(O35="","",IF(P35&lt;&gt;"","-",O35+7))</f>
        <v/>
      </c>
      <c r="S35" s="11" t="n"/>
      <c r="T35" s="11" t="n"/>
      <c r="U35" s="13" t="n"/>
    </row>
    <row r="36">
      <c r="A36" s="10">
        <f>IF(B36="","",ROW()-4)</f>
        <v/>
      </c>
      <c r="B36" s="11" t="n"/>
      <c r="C36" s="11" t="n"/>
      <c r="D36" s="11" t="n"/>
      <c r="E36" s="12" t="n"/>
      <c r="F36" s="11" t="n"/>
      <c r="G36" s="11" t="n"/>
      <c r="H36" s="11" t="n"/>
      <c r="I36" s="11" t="n"/>
      <c r="J36" s="13" t="n"/>
      <c r="K36" s="11" t="n"/>
      <c r="L36" s="11" t="n"/>
      <c r="M36" s="11" t="n"/>
      <c r="N36" s="11" t="n"/>
      <c r="O36" s="14" t="n"/>
      <c r="P36" s="14" t="n"/>
      <c r="Q36" s="10">
        <f>IF(O36="","",IF(P36&lt;&gt;"","replied",TODAY()-O36))</f>
        <v/>
      </c>
      <c r="R36" s="15">
        <f>IF(O36="","",IF(P36&lt;&gt;"","-",O36+7))</f>
        <v/>
      </c>
      <c r="S36" s="11" t="n"/>
      <c r="T36" s="11" t="n"/>
      <c r="U36" s="13" t="n"/>
    </row>
    <row r="37">
      <c r="A37" s="10">
        <f>IF(B37="","",ROW()-4)</f>
        <v/>
      </c>
      <c r="B37" s="11" t="n"/>
      <c r="C37" s="11" t="n"/>
      <c r="D37" s="11" t="n"/>
      <c r="E37" s="12" t="n"/>
      <c r="F37" s="11" t="n"/>
      <c r="G37" s="11" t="n"/>
      <c r="H37" s="11" t="n"/>
      <c r="I37" s="11" t="n"/>
      <c r="J37" s="13" t="n"/>
      <c r="K37" s="11" t="n"/>
      <c r="L37" s="11" t="n"/>
      <c r="M37" s="11" t="n"/>
      <c r="N37" s="11" t="n"/>
      <c r="O37" s="14" t="n"/>
      <c r="P37" s="14" t="n"/>
      <c r="Q37" s="10">
        <f>IF(O37="","",IF(P37&lt;&gt;"","replied",TODAY()-O37))</f>
        <v/>
      </c>
      <c r="R37" s="15">
        <f>IF(O37="","",IF(P37&lt;&gt;"","-",O37+7))</f>
        <v/>
      </c>
      <c r="S37" s="11" t="n"/>
      <c r="T37" s="11" t="n"/>
      <c r="U37" s="13" t="n"/>
    </row>
    <row r="38">
      <c r="A38" s="10">
        <f>IF(B38="","",ROW()-4)</f>
        <v/>
      </c>
      <c r="B38" s="11" t="n"/>
      <c r="C38" s="11" t="n"/>
      <c r="D38" s="11" t="n"/>
      <c r="E38" s="12" t="n"/>
      <c r="F38" s="11" t="n"/>
      <c r="G38" s="11" t="n"/>
      <c r="H38" s="11" t="n"/>
      <c r="I38" s="11" t="n"/>
      <c r="J38" s="13" t="n"/>
      <c r="K38" s="11" t="n"/>
      <c r="L38" s="11" t="n"/>
      <c r="M38" s="11" t="n"/>
      <c r="N38" s="11" t="n"/>
      <c r="O38" s="14" t="n"/>
      <c r="P38" s="14" t="n"/>
      <c r="Q38" s="10">
        <f>IF(O38="","",IF(P38&lt;&gt;"","replied",TODAY()-O38))</f>
        <v/>
      </c>
      <c r="R38" s="15">
        <f>IF(O38="","",IF(P38&lt;&gt;"","-",O38+7))</f>
        <v/>
      </c>
      <c r="S38" s="11" t="n"/>
      <c r="T38" s="11" t="n"/>
      <c r="U38" s="13" t="n"/>
    </row>
    <row r="39">
      <c r="A39" s="10">
        <f>IF(B39="","",ROW()-4)</f>
        <v/>
      </c>
      <c r="B39" s="11" t="n"/>
      <c r="C39" s="11" t="n"/>
      <c r="D39" s="11" t="n"/>
      <c r="E39" s="12" t="n"/>
      <c r="F39" s="11" t="n"/>
      <c r="G39" s="11" t="n"/>
      <c r="H39" s="11" t="n"/>
      <c r="I39" s="11" t="n"/>
      <c r="J39" s="13" t="n"/>
      <c r="K39" s="11" t="n"/>
      <c r="L39" s="11" t="n"/>
      <c r="M39" s="11" t="n"/>
      <c r="N39" s="11" t="n"/>
      <c r="O39" s="14" t="n"/>
      <c r="P39" s="14" t="n"/>
      <c r="Q39" s="10">
        <f>IF(O39="","",IF(P39&lt;&gt;"","replied",TODAY()-O39))</f>
        <v/>
      </c>
      <c r="R39" s="15">
        <f>IF(O39="","",IF(P39&lt;&gt;"","-",O39+7))</f>
        <v/>
      </c>
      <c r="S39" s="11" t="n"/>
      <c r="T39" s="11" t="n"/>
      <c r="U39" s="13" t="n"/>
    </row>
    <row r="40">
      <c r="A40" s="10">
        <f>IF(B40="","",ROW()-4)</f>
        <v/>
      </c>
      <c r="B40" s="11" t="n"/>
      <c r="C40" s="11" t="n"/>
      <c r="D40" s="11" t="n"/>
      <c r="E40" s="12" t="n"/>
      <c r="F40" s="11" t="n"/>
      <c r="G40" s="11" t="n"/>
      <c r="H40" s="11" t="n"/>
      <c r="I40" s="11" t="n"/>
      <c r="J40" s="13" t="n"/>
      <c r="K40" s="11" t="n"/>
      <c r="L40" s="11" t="n"/>
      <c r="M40" s="11" t="n"/>
      <c r="N40" s="11" t="n"/>
      <c r="O40" s="14" t="n"/>
      <c r="P40" s="14" t="n"/>
      <c r="Q40" s="10">
        <f>IF(O40="","",IF(P40&lt;&gt;"","replied",TODAY()-O40))</f>
        <v/>
      </c>
      <c r="R40" s="15">
        <f>IF(O40="","",IF(P40&lt;&gt;"","-",O40+7))</f>
        <v/>
      </c>
      <c r="S40" s="11" t="n"/>
      <c r="T40" s="11" t="n"/>
      <c r="U40" s="13" t="n"/>
    </row>
    <row r="41">
      <c r="A41" s="10">
        <f>IF(B41="","",ROW()-4)</f>
        <v/>
      </c>
      <c r="B41" s="11" t="n"/>
      <c r="C41" s="11" t="n"/>
      <c r="D41" s="11" t="n"/>
      <c r="E41" s="12" t="n"/>
      <c r="F41" s="11" t="n"/>
      <c r="G41" s="11" t="n"/>
      <c r="H41" s="11" t="n"/>
      <c r="I41" s="11" t="n"/>
      <c r="J41" s="13" t="n"/>
      <c r="K41" s="11" t="n"/>
      <c r="L41" s="11" t="n"/>
      <c r="M41" s="11" t="n"/>
      <c r="N41" s="11" t="n"/>
      <c r="O41" s="14" t="n"/>
      <c r="P41" s="14" t="n"/>
      <c r="Q41" s="10">
        <f>IF(O41="","",IF(P41&lt;&gt;"","replied",TODAY()-O41))</f>
        <v/>
      </c>
      <c r="R41" s="15">
        <f>IF(O41="","",IF(P41&lt;&gt;"","-",O41+7))</f>
        <v/>
      </c>
      <c r="S41" s="11" t="n"/>
      <c r="T41" s="11" t="n"/>
      <c r="U41" s="13" t="n"/>
    </row>
    <row r="42">
      <c r="A42" s="10">
        <f>IF(B42="","",ROW()-4)</f>
        <v/>
      </c>
      <c r="B42" s="11" t="n"/>
      <c r="C42" s="11" t="n"/>
      <c r="D42" s="11" t="n"/>
      <c r="E42" s="12" t="n"/>
      <c r="F42" s="11" t="n"/>
      <c r="G42" s="11" t="n"/>
      <c r="H42" s="11" t="n"/>
      <c r="I42" s="11" t="n"/>
      <c r="J42" s="13" t="n"/>
      <c r="K42" s="11" t="n"/>
      <c r="L42" s="11" t="n"/>
      <c r="M42" s="11" t="n"/>
      <c r="N42" s="11" t="n"/>
      <c r="O42" s="14" t="n"/>
      <c r="P42" s="14" t="n"/>
      <c r="Q42" s="10">
        <f>IF(O42="","",IF(P42&lt;&gt;"","replied",TODAY()-O42))</f>
        <v/>
      </c>
      <c r="R42" s="15">
        <f>IF(O42="","",IF(P42&lt;&gt;"","-",O42+7))</f>
        <v/>
      </c>
      <c r="S42" s="11" t="n"/>
      <c r="T42" s="11" t="n"/>
      <c r="U42" s="13" t="n"/>
    </row>
    <row r="43">
      <c r="A43" s="10">
        <f>IF(B43="","",ROW()-4)</f>
        <v/>
      </c>
      <c r="B43" s="11" t="n"/>
      <c r="C43" s="11" t="n"/>
      <c r="D43" s="11" t="n"/>
      <c r="E43" s="12" t="n"/>
      <c r="F43" s="11" t="n"/>
      <c r="G43" s="11" t="n"/>
      <c r="H43" s="11" t="n"/>
      <c r="I43" s="11" t="n"/>
      <c r="J43" s="13" t="n"/>
      <c r="K43" s="11" t="n"/>
      <c r="L43" s="11" t="n"/>
      <c r="M43" s="11" t="n"/>
      <c r="N43" s="11" t="n"/>
      <c r="O43" s="14" t="n"/>
      <c r="P43" s="14" t="n"/>
      <c r="Q43" s="10">
        <f>IF(O43="","",IF(P43&lt;&gt;"","replied",TODAY()-O43))</f>
        <v/>
      </c>
      <c r="R43" s="15">
        <f>IF(O43="","",IF(P43&lt;&gt;"","-",O43+7))</f>
        <v/>
      </c>
      <c r="S43" s="11" t="n"/>
      <c r="T43" s="11" t="n"/>
      <c r="U43" s="13" t="n"/>
    </row>
    <row r="44">
      <c r="A44" s="10">
        <f>IF(B44="","",ROW()-4)</f>
        <v/>
      </c>
      <c r="B44" s="11" t="n"/>
      <c r="C44" s="11" t="n"/>
      <c r="D44" s="11" t="n"/>
      <c r="E44" s="12" t="n"/>
      <c r="F44" s="11" t="n"/>
      <c r="G44" s="11" t="n"/>
      <c r="H44" s="11" t="n"/>
      <c r="I44" s="11" t="n"/>
      <c r="J44" s="13" t="n"/>
      <c r="K44" s="11" t="n"/>
      <c r="L44" s="11" t="n"/>
      <c r="M44" s="11" t="n"/>
      <c r="N44" s="11" t="n"/>
      <c r="O44" s="14" t="n"/>
      <c r="P44" s="14" t="n"/>
      <c r="Q44" s="10">
        <f>IF(O44="","",IF(P44&lt;&gt;"","replied",TODAY()-O44))</f>
        <v/>
      </c>
      <c r="R44" s="15">
        <f>IF(O44="","",IF(P44&lt;&gt;"","-",O44+7))</f>
        <v/>
      </c>
      <c r="S44" s="11" t="n"/>
      <c r="T44" s="11" t="n"/>
      <c r="U44" s="13" t="n"/>
    </row>
    <row r="45">
      <c r="A45" s="10">
        <f>IF(B45="","",ROW()-4)</f>
        <v/>
      </c>
      <c r="B45" s="11" t="n"/>
      <c r="C45" s="11" t="n"/>
      <c r="D45" s="11" t="n"/>
      <c r="E45" s="12" t="n"/>
      <c r="F45" s="11" t="n"/>
      <c r="G45" s="11" t="n"/>
      <c r="H45" s="11" t="n"/>
      <c r="I45" s="11" t="n"/>
      <c r="J45" s="13" t="n"/>
      <c r="K45" s="11" t="n"/>
      <c r="L45" s="11" t="n"/>
      <c r="M45" s="11" t="n"/>
      <c r="N45" s="11" t="n"/>
      <c r="O45" s="14" t="n"/>
      <c r="P45" s="14" t="n"/>
      <c r="Q45" s="10">
        <f>IF(O45="","",IF(P45&lt;&gt;"","replied",TODAY()-O45))</f>
        <v/>
      </c>
      <c r="R45" s="15">
        <f>IF(O45="","",IF(P45&lt;&gt;"","-",O45+7))</f>
        <v/>
      </c>
      <c r="S45" s="11" t="n"/>
      <c r="T45" s="11" t="n"/>
      <c r="U45" s="13" t="n"/>
    </row>
    <row r="46">
      <c r="A46" s="10">
        <f>IF(B46="","",ROW()-4)</f>
        <v/>
      </c>
      <c r="B46" s="11" t="n"/>
      <c r="C46" s="11" t="n"/>
      <c r="D46" s="11" t="n"/>
      <c r="E46" s="12" t="n"/>
      <c r="F46" s="11" t="n"/>
      <c r="G46" s="11" t="n"/>
      <c r="H46" s="11" t="n"/>
      <c r="I46" s="11" t="n"/>
      <c r="J46" s="13" t="n"/>
      <c r="K46" s="11" t="n"/>
      <c r="L46" s="11" t="n"/>
      <c r="M46" s="11" t="n"/>
      <c r="N46" s="11" t="n"/>
      <c r="O46" s="14" t="n"/>
      <c r="P46" s="14" t="n"/>
      <c r="Q46" s="10">
        <f>IF(O46="","",IF(P46&lt;&gt;"","replied",TODAY()-O46))</f>
        <v/>
      </c>
      <c r="R46" s="15">
        <f>IF(O46="","",IF(P46&lt;&gt;"","-",O46+7))</f>
        <v/>
      </c>
      <c r="S46" s="11" t="n"/>
      <c r="T46" s="11" t="n"/>
      <c r="U46" s="13" t="n"/>
    </row>
    <row r="47">
      <c r="A47" s="10">
        <f>IF(B47="","",ROW()-4)</f>
        <v/>
      </c>
      <c r="B47" s="11" t="n"/>
      <c r="C47" s="11" t="n"/>
      <c r="D47" s="11" t="n"/>
      <c r="E47" s="12" t="n"/>
      <c r="F47" s="11" t="n"/>
      <c r="G47" s="11" t="n"/>
      <c r="H47" s="11" t="n"/>
      <c r="I47" s="11" t="n"/>
      <c r="J47" s="13" t="n"/>
      <c r="K47" s="11" t="n"/>
      <c r="L47" s="11" t="n"/>
      <c r="M47" s="11" t="n"/>
      <c r="N47" s="11" t="n"/>
      <c r="O47" s="14" t="n"/>
      <c r="P47" s="14" t="n"/>
      <c r="Q47" s="10">
        <f>IF(O47="","",IF(P47&lt;&gt;"","replied",TODAY()-O47))</f>
        <v/>
      </c>
      <c r="R47" s="15">
        <f>IF(O47="","",IF(P47&lt;&gt;"","-",O47+7))</f>
        <v/>
      </c>
      <c r="S47" s="11" t="n"/>
      <c r="T47" s="11" t="n"/>
      <c r="U47" s="13" t="n"/>
    </row>
    <row r="48">
      <c r="A48" s="10">
        <f>IF(B48="","",ROW()-4)</f>
        <v/>
      </c>
      <c r="B48" s="11" t="n"/>
      <c r="C48" s="11" t="n"/>
      <c r="D48" s="11" t="n"/>
      <c r="E48" s="12" t="n"/>
      <c r="F48" s="11" t="n"/>
      <c r="G48" s="11" t="n"/>
      <c r="H48" s="11" t="n"/>
      <c r="I48" s="11" t="n"/>
      <c r="J48" s="13" t="n"/>
      <c r="K48" s="11" t="n"/>
      <c r="L48" s="11" t="n"/>
      <c r="M48" s="11" t="n"/>
      <c r="N48" s="11" t="n"/>
      <c r="O48" s="14" t="n"/>
      <c r="P48" s="14" t="n"/>
      <c r="Q48" s="10">
        <f>IF(O48="","",IF(P48&lt;&gt;"","replied",TODAY()-O48))</f>
        <v/>
      </c>
      <c r="R48" s="15">
        <f>IF(O48="","",IF(P48&lt;&gt;"","-",O48+7))</f>
        <v/>
      </c>
      <c r="S48" s="11" t="n"/>
      <c r="T48" s="11" t="n"/>
      <c r="U48" s="13" t="n"/>
    </row>
    <row r="49">
      <c r="A49" s="10">
        <f>IF(B49="","",ROW()-4)</f>
        <v/>
      </c>
      <c r="B49" s="11" t="n"/>
      <c r="C49" s="11" t="n"/>
      <c r="D49" s="11" t="n"/>
      <c r="E49" s="12" t="n"/>
      <c r="F49" s="11" t="n"/>
      <c r="G49" s="11" t="n"/>
      <c r="H49" s="11" t="n"/>
      <c r="I49" s="11" t="n"/>
      <c r="J49" s="13" t="n"/>
      <c r="K49" s="11" t="n"/>
      <c r="L49" s="11" t="n"/>
      <c r="M49" s="11" t="n"/>
      <c r="N49" s="11" t="n"/>
      <c r="O49" s="14" t="n"/>
      <c r="P49" s="14" t="n"/>
      <c r="Q49" s="10">
        <f>IF(O49="","",IF(P49&lt;&gt;"","replied",TODAY()-O49))</f>
        <v/>
      </c>
      <c r="R49" s="15">
        <f>IF(O49="","",IF(P49&lt;&gt;"","-",O49+7))</f>
        <v/>
      </c>
      <c r="S49" s="11" t="n"/>
      <c r="T49" s="11" t="n"/>
      <c r="U49" s="13" t="n"/>
    </row>
    <row r="50">
      <c r="A50" s="10">
        <f>IF(B50="","",ROW()-4)</f>
        <v/>
      </c>
      <c r="B50" s="11" t="n"/>
      <c r="C50" s="11" t="n"/>
      <c r="D50" s="11" t="n"/>
      <c r="E50" s="12" t="n"/>
      <c r="F50" s="11" t="n"/>
      <c r="G50" s="11" t="n"/>
      <c r="H50" s="11" t="n"/>
      <c r="I50" s="11" t="n"/>
      <c r="J50" s="13" t="n"/>
      <c r="K50" s="11" t="n"/>
      <c r="L50" s="11" t="n"/>
      <c r="M50" s="11" t="n"/>
      <c r="N50" s="11" t="n"/>
      <c r="O50" s="14" t="n"/>
      <c r="P50" s="14" t="n"/>
      <c r="Q50" s="10">
        <f>IF(O50="","",IF(P50&lt;&gt;"","replied",TODAY()-O50))</f>
        <v/>
      </c>
      <c r="R50" s="15">
        <f>IF(O50="","",IF(P50&lt;&gt;"","-",O50+7))</f>
        <v/>
      </c>
      <c r="S50" s="11" t="n"/>
      <c r="T50" s="11" t="n"/>
      <c r="U50" s="13" t="n"/>
    </row>
    <row r="51">
      <c r="A51" s="10">
        <f>IF(B51="","",ROW()-4)</f>
        <v/>
      </c>
      <c r="B51" s="11" t="n"/>
      <c r="C51" s="11" t="n"/>
      <c r="D51" s="11" t="n"/>
      <c r="E51" s="12" t="n"/>
      <c r="F51" s="11" t="n"/>
      <c r="G51" s="11" t="n"/>
      <c r="H51" s="11" t="n"/>
      <c r="I51" s="11" t="n"/>
      <c r="J51" s="13" t="n"/>
      <c r="K51" s="11" t="n"/>
      <c r="L51" s="11" t="n"/>
      <c r="M51" s="11" t="n"/>
      <c r="N51" s="11" t="n"/>
      <c r="O51" s="14" t="n"/>
      <c r="P51" s="14" t="n"/>
      <c r="Q51" s="10">
        <f>IF(O51="","",IF(P51&lt;&gt;"","replied",TODAY()-O51))</f>
        <v/>
      </c>
      <c r="R51" s="15">
        <f>IF(O51="","",IF(P51&lt;&gt;"","-",O51+7))</f>
        <v/>
      </c>
      <c r="S51" s="11" t="n"/>
      <c r="T51" s="11" t="n"/>
      <c r="U51" s="13" t="n"/>
    </row>
    <row r="52">
      <c r="A52" s="10">
        <f>IF(B52="","",ROW()-4)</f>
        <v/>
      </c>
      <c r="B52" s="11" t="n"/>
      <c r="C52" s="11" t="n"/>
      <c r="D52" s="11" t="n"/>
      <c r="E52" s="12" t="n"/>
      <c r="F52" s="11" t="n"/>
      <c r="G52" s="11" t="n"/>
      <c r="H52" s="11" t="n"/>
      <c r="I52" s="11" t="n"/>
      <c r="J52" s="13" t="n"/>
      <c r="K52" s="11" t="n"/>
      <c r="L52" s="11" t="n"/>
      <c r="M52" s="11" t="n"/>
      <c r="N52" s="11" t="n"/>
      <c r="O52" s="14" t="n"/>
      <c r="P52" s="14" t="n"/>
      <c r="Q52" s="10">
        <f>IF(O52="","",IF(P52&lt;&gt;"","replied",TODAY()-O52))</f>
        <v/>
      </c>
      <c r="R52" s="15">
        <f>IF(O52="","",IF(P52&lt;&gt;"","-",O52+7))</f>
        <v/>
      </c>
      <c r="S52" s="11" t="n"/>
      <c r="T52" s="11" t="n"/>
      <c r="U52" s="13" t="n"/>
    </row>
    <row r="53">
      <c r="A53" s="10">
        <f>IF(B53="","",ROW()-4)</f>
        <v/>
      </c>
      <c r="B53" s="11" t="n"/>
      <c r="C53" s="11" t="n"/>
      <c r="D53" s="11" t="n"/>
      <c r="E53" s="12" t="n"/>
      <c r="F53" s="11" t="n"/>
      <c r="G53" s="11" t="n"/>
      <c r="H53" s="11" t="n"/>
      <c r="I53" s="11" t="n"/>
      <c r="J53" s="13" t="n"/>
      <c r="K53" s="11" t="n"/>
      <c r="L53" s="11" t="n"/>
      <c r="M53" s="11" t="n"/>
      <c r="N53" s="11" t="n"/>
      <c r="O53" s="14" t="n"/>
      <c r="P53" s="14" t="n"/>
      <c r="Q53" s="10">
        <f>IF(O53="","",IF(P53&lt;&gt;"","replied",TODAY()-O53))</f>
        <v/>
      </c>
      <c r="R53" s="15">
        <f>IF(O53="","",IF(P53&lt;&gt;"","-",O53+7))</f>
        <v/>
      </c>
      <c r="S53" s="11" t="n"/>
      <c r="T53" s="11" t="n"/>
      <c r="U53" s="13" t="n"/>
    </row>
    <row r="54">
      <c r="A54" s="10">
        <f>IF(B54="","",ROW()-4)</f>
        <v/>
      </c>
      <c r="B54" s="11" t="n"/>
      <c r="C54" s="11" t="n"/>
      <c r="D54" s="11" t="n"/>
      <c r="E54" s="12" t="n"/>
      <c r="F54" s="11" t="n"/>
      <c r="G54" s="11" t="n"/>
      <c r="H54" s="11" t="n"/>
      <c r="I54" s="11" t="n"/>
      <c r="J54" s="13" t="n"/>
      <c r="K54" s="11" t="n"/>
      <c r="L54" s="11" t="n"/>
      <c r="M54" s="11" t="n"/>
      <c r="N54" s="11" t="n"/>
      <c r="O54" s="14" t="n"/>
      <c r="P54" s="14" t="n"/>
      <c r="Q54" s="10">
        <f>IF(O54="","",IF(P54&lt;&gt;"","replied",TODAY()-O54))</f>
        <v/>
      </c>
      <c r="R54" s="15">
        <f>IF(O54="","",IF(P54&lt;&gt;"","-",O54+7))</f>
        <v/>
      </c>
      <c r="S54" s="11" t="n"/>
      <c r="T54" s="11" t="n"/>
      <c r="U54" s="13" t="n"/>
    </row>
    <row r="55">
      <c r="A55" s="10">
        <f>IF(B55="","",ROW()-4)</f>
        <v/>
      </c>
      <c r="B55" s="11" t="n"/>
      <c r="C55" s="11" t="n"/>
      <c r="D55" s="11" t="n"/>
      <c r="E55" s="12" t="n"/>
      <c r="F55" s="11" t="n"/>
      <c r="G55" s="11" t="n"/>
      <c r="H55" s="11" t="n"/>
      <c r="I55" s="11" t="n"/>
      <c r="J55" s="13" t="n"/>
      <c r="K55" s="11" t="n"/>
      <c r="L55" s="11" t="n"/>
      <c r="M55" s="11" t="n"/>
      <c r="N55" s="11" t="n"/>
      <c r="O55" s="14" t="n"/>
      <c r="P55" s="14" t="n"/>
      <c r="Q55" s="10">
        <f>IF(O55="","",IF(P55&lt;&gt;"","replied",TODAY()-O55))</f>
        <v/>
      </c>
      <c r="R55" s="15">
        <f>IF(O55="","",IF(P55&lt;&gt;"","-",O55+7))</f>
        <v/>
      </c>
      <c r="S55" s="11" t="n"/>
      <c r="T55" s="11" t="n"/>
      <c r="U55" s="13" t="n"/>
    </row>
    <row r="56">
      <c r="A56" s="10">
        <f>IF(B56="","",ROW()-4)</f>
        <v/>
      </c>
      <c r="B56" s="11" t="n"/>
      <c r="C56" s="11" t="n"/>
      <c r="D56" s="11" t="n"/>
      <c r="E56" s="12" t="n"/>
      <c r="F56" s="11" t="n"/>
      <c r="G56" s="11" t="n"/>
      <c r="H56" s="11" t="n"/>
      <c r="I56" s="11" t="n"/>
      <c r="J56" s="13" t="n"/>
      <c r="K56" s="11" t="n"/>
      <c r="L56" s="11" t="n"/>
      <c r="M56" s="11" t="n"/>
      <c r="N56" s="11" t="n"/>
      <c r="O56" s="14" t="n"/>
      <c r="P56" s="14" t="n"/>
      <c r="Q56" s="10">
        <f>IF(O56="","",IF(P56&lt;&gt;"","replied",TODAY()-O56))</f>
        <v/>
      </c>
      <c r="R56" s="15">
        <f>IF(O56="","",IF(P56&lt;&gt;"","-",O56+7))</f>
        <v/>
      </c>
      <c r="S56" s="11" t="n"/>
      <c r="T56" s="11" t="n"/>
      <c r="U56" s="13" t="n"/>
    </row>
    <row r="57">
      <c r="A57" s="10">
        <f>IF(B57="","",ROW()-4)</f>
        <v/>
      </c>
      <c r="B57" s="11" t="n"/>
      <c r="C57" s="11" t="n"/>
      <c r="D57" s="11" t="n"/>
      <c r="E57" s="12" t="n"/>
      <c r="F57" s="11" t="n"/>
      <c r="G57" s="11" t="n"/>
      <c r="H57" s="11" t="n"/>
      <c r="I57" s="11" t="n"/>
      <c r="J57" s="13" t="n"/>
      <c r="K57" s="11" t="n"/>
      <c r="L57" s="11" t="n"/>
      <c r="M57" s="11" t="n"/>
      <c r="N57" s="11" t="n"/>
      <c r="O57" s="14" t="n"/>
      <c r="P57" s="14" t="n"/>
      <c r="Q57" s="10">
        <f>IF(O57="","",IF(P57&lt;&gt;"","replied",TODAY()-O57))</f>
        <v/>
      </c>
      <c r="R57" s="15">
        <f>IF(O57="","",IF(P57&lt;&gt;"","-",O57+7))</f>
        <v/>
      </c>
      <c r="S57" s="11" t="n"/>
      <c r="T57" s="11" t="n"/>
      <c r="U57" s="13" t="n"/>
    </row>
    <row r="58">
      <c r="A58" s="10">
        <f>IF(B58="","",ROW()-4)</f>
        <v/>
      </c>
      <c r="B58" s="11" t="n"/>
      <c r="C58" s="11" t="n"/>
      <c r="D58" s="11" t="n"/>
      <c r="E58" s="12" t="n"/>
      <c r="F58" s="11" t="n"/>
      <c r="G58" s="11" t="n"/>
      <c r="H58" s="11" t="n"/>
      <c r="I58" s="11" t="n"/>
      <c r="J58" s="13" t="n"/>
      <c r="K58" s="11" t="n"/>
      <c r="L58" s="11" t="n"/>
      <c r="M58" s="11" t="n"/>
      <c r="N58" s="11" t="n"/>
      <c r="O58" s="14" t="n"/>
      <c r="P58" s="14" t="n"/>
      <c r="Q58" s="10">
        <f>IF(O58="","",IF(P58&lt;&gt;"","replied",TODAY()-O58))</f>
        <v/>
      </c>
      <c r="R58" s="15">
        <f>IF(O58="","",IF(P58&lt;&gt;"","-",O58+7))</f>
        <v/>
      </c>
      <c r="S58" s="11" t="n"/>
      <c r="T58" s="11" t="n"/>
      <c r="U58" s="13" t="n"/>
    </row>
    <row r="59">
      <c r="A59" s="10">
        <f>IF(B59="","",ROW()-4)</f>
        <v/>
      </c>
      <c r="B59" s="11" t="n"/>
      <c r="C59" s="11" t="n"/>
      <c r="D59" s="11" t="n"/>
      <c r="E59" s="12" t="n"/>
      <c r="F59" s="11" t="n"/>
      <c r="G59" s="11" t="n"/>
      <c r="H59" s="11" t="n"/>
      <c r="I59" s="11" t="n"/>
      <c r="J59" s="13" t="n"/>
      <c r="K59" s="11" t="n"/>
      <c r="L59" s="11" t="n"/>
      <c r="M59" s="11" t="n"/>
      <c r="N59" s="11" t="n"/>
      <c r="O59" s="14" t="n"/>
      <c r="P59" s="14" t="n"/>
      <c r="Q59" s="10">
        <f>IF(O59="","",IF(P59&lt;&gt;"","replied",TODAY()-O59))</f>
        <v/>
      </c>
      <c r="R59" s="15">
        <f>IF(O59="","",IF(P59&lt;&gt;"","-",O59+7))</f>
        <v/>
      </c>
      <c r="S59" s="11" t="n"/>
      <c r="T59" s="11" t="n"/>
      <c r="U59" s="13" t="n"/>
    </row>
    <row r="60">
      <c r="A60" s="10">
        <f>IF(B60="","",ROW()-4)</f>
        <v/>
      </c>
      <c r="B60" s="11" t="n"/>
      <c r="C60" s="11" t="n"/>
      <c r="D60" s="11" t="n"/>
      <c r="E60" s="12" t="n"/>
      <c r="F60" s="11" t="n"/>
      <c r="G60" s="11" t="n"/>
      <c r="H60" s="11" t="n"/>
      <c r="I60" s="11" t="n"/>
      <c r="J60" s="13" t="n"/>
      <c r="K60" s="11" t="n"/>
      <c r="L60" s="11" t="n"/>
      <c r="M60" s="11" t="n"/>
      <c r="N60" s="11" t="n"/>
      <c r="O60" s="14" t="n"/>
      <c r="P60" s="14" t="n"/>
      <c r="Q60" s="10">
        <f>IF(O60="","",IF(P60&lt;&gt;"","replied",TODAY()-O60))</f>
        <v/>
      </c>
      <c r="R60" s="15">
        <f>IF(O60="","",IF(P60&lt;&gt;"","-",O60+7))</f>
        <v/>
      </c>
      <c r="S60" s="11" t="n"/>
      <c r="T60" s="11" t="n"/>
      <c r="U60" s="13" t="n"/>
    </row>
    <row r="61">
      <c r="A61" s="10">
        <f>IF(B61="","",ROW()-4)</f>
        <v/>
      </c>
      <c r="B61" s="11" t="n"/>
      <c r="C61" s="11" t="n"/>
      <c r="D61" s="11" t="n"/>
      <c r="E61" s="12" t="n"/>
      <c r="F61" s="11" t="n"/>
      <c r="G61" s="11" t="n"/>
      <c r="H61" s="11" t="n"/>
      <c r="I61" s="11" t="n"/>
      <c r="J61" s="13" t="n"/>
      <c r="K61" s="11" t="n"/>
      <c r="L61" s="11" t="n"/>
      <c r="M61" s="11" t="n"/>
      <c r="N61" s="11" t="n"/>
      <c r="O61" s="14" t="n"/>
      <c r="P61" s="14" t="n"/>
      <c r="Q61" s="10">
        <f>IF(O61="","",IF(P61&lt;&gt;"","replied",TODAY()-O61))</f>
        <v/>
      </c>
      <c r="R61" s="15">
        <f>IF(O61="","",IF(P61&lt;&gt;"","-",O61+7))</f>
        <v/>
      </c>
      <c r="S61" s="11" t="n"/>
      <c r="T61" s="11" t="n"/>
      <c r="U61" s="13" t="n"/>
    </row>
    <row r="62">
      <c r="A62" s="10">
        <f>IF(B62="","",ROW()-4)</f>
        <v/>
      </c>
      <c r="B62" s="11" t="n"/>
      <c r="C62" s="11" t="n"/>
      <c r="D62" s="11" t="n"/>
      <c r="E62" s="12" t="n"/>
      <c r="F62" s="11" t="n"/>
      <c r="G62" s="11" t="n"/>
      <c r="H62" s="11" t="n"/>
      <c r="I62" s="11" t="n"/>
      <c r="J62" s="13" t="n"/>
      <c r="K62" s="11" t="n"/>
      <c r="L62" s="11" t="n"/>
      <c r="M62" s="11" t="n"/>
      <c r="N62" s="11" t="n"/>
      <c r="O62" s="14" t="n"/>
      <c r="P62" s="14" t="n"/>
      <c r="Q62" s="10">
        <f>IF(O62="","",IF(P62&lt;&gt;"","replied",TODAY()-O62))</f>
        <v/>
      </c>
      <c r="R62" s="15">
        <f>IF(O62="","",IF(P62&lt;&gt;"","-",O62+7))</f>
        <v/>
      </c>
      <c r="S62" s="11" t="n"/>
      <c r="T62" s="11" t="n"/>
      <c r="U62" s="13" t="n"/>
    </row>
    <row r="63">
      <c r="A63" s="10">
        <f>IF(B63="","",ROW()-4)</f>
        <v/>
      </c>
      <c r="B63" s="11" t="n"/>
      <c r="C63" s="11" t="n"/>
      <c r="D63" s="11" t="n"/>
      <c r="E63" s="12" t="n"/>
      <c r="F63" s="11" t="n"/>
      <c r="G63" s="11" t="n"/>
      <c r="H63" s="11" t="n"/>
      <c r="I63" s="11" t="n"/>
      <c r="J63" s="13" t="n"/>
      <c r="K63" s="11" t="n"/>
      <c r="L63" s="11" t="n"/>
      <c r="M63" s="11" t="n"/>
      <c r="N63" s="11" t="n"/>
      <c r="O63" s="14" t="n"/>
      <c r="P63" s="14" t="n"/>
      <c r="Q63" s="10">
        <f>IF(O63="","",IF(P63&lt;&gt;"","replied",TODAY()-O63))</f>
        <v/>
      </c>
      <c r="R63" s="15">
        <f>IF(O63="","",IF(P63&lt;&gt;"","-",O63+7))</f>
        <v/>
      </c>
      <c r="S63" s="11" t="n"/>
      <c r="T63" s="11" t="n"/>
      <c r="U63" s="13" t="n"/>
    </row>
    <row r="64">
      <c r="A64" s="10">
        <f>IF(B64="","",ROW()-4)</f>
        <v/>
      </c>
      <c r="B64" s="11" t="n"/>
      <c r="C64" s="11" t="n"/>
      <c r="D64" s="11" t="n"/>
      <c r="E64" s="12" t="n"/>
      <c r="F64" s="11" t="n"/>
      <c r="G64" s="11" t="n"/>
      <c r="H64" s="11" t="n"/>
      <c r="I64" s="11" t="n"/>
      <c r="J64" s="13" t="n"/>
      <c r="K64" s="11" t="n"/>
      <c r="L64" s="11" t="n"/>
      <c r="M64" s="11" t="n"/>
      <c r="N64" s="11" t="n"/>
      <c r="O64" s="14" t="n"/>
      <c r="P64" s="14" t="n"/>
      <c r="Q64" s="10">
        <f>IF(O64="","",IF(P64&lt;&gt;"","replied",TODAY()-O64))</f>
        <v/>
      </c>
      <c r="R64" s="15">
        <f>IF(O64="","",IF(P64&lt;&gt;"","-",O64+7))</f>
        <v/>
      </c>
      <c r="S64" s="11" t="n"/>
      <c r="T64" s="11" t="n"/>
      <c r="U64" s="13" t="n"/>
    </row>
    <row r="65">
      <c r="A65" s="10">
        <f>IF(B65="","",ROW()-4)</f>
        <v/>
      </c>
      <c r="B65" s="11" t="n"/>
      <c r="C65" s="11" t="n"/>
      <c r="D65" s="11" t="n"/>
      <c r="E65" s="12" t="n"/>
      <c r="F65" s="11" t="n"/>
      <c r="G65" s="11" t="n"/>
      <c r="H65" s="11" t="n"/>
      <c r="I65" s="11" t="n"/>
      <c r="J65" s="13" t="n"/>
      <c r="K65" s="11" t="n"/>
      <c r="L65" s="11" t="n"/>
      <c r="M65" s="11" t="n"/>
      <c r="N65" s="11" t="n"/>
      <c r="O65" s="14" t="n"/>
      <c r="P65" s="14" t="n"/>
      <c r="Q65" s="10">
        <f>IF(O65="","",IF(P65&lt;&gt;"","replied",TODAY()-O65))</f>
        <v/>
      </c>
      <c r="R65" s="15">
        <f>IF(O65="","",IF(P65&lt;&gt;"","-",O65+7))</f>
        <v/>
      </c>
      <c r="S65" s="11" t="n"/>
      <c r="T65" s="11" t="n"/>
      <c r="U65" s="13" t="n"/>
    </row>
    <row r="66">
      <c r="A66" s="10">
        <f>IF(B66="","",ROW()-4)</f>
        <v/>
      </c>
      <c r="B66" s="11" t="n"/>
      <c r="C66" s="11" t="n"/>
      <c r="D66" s="11" t="n"/>
      <c r="E66" s="12" t="n"/>
      <c r="F66" s="11" t="n"/>
      <c r="G66" s="11" t="n"/>
      <c r="H66" s="11" t="n"/>
      <c r="I66" s="11" t="n"/>
      <c r="J66" s="13" t="n"/>
      <c r="K66" s="11" t="n"/>
      <c r="L66" s="11" t="n"/>
      <c r="M66" s="11" t="n"/>
      <c r="N66" s="11" t="n"/>
      <c r="O66" s="14" t="n"/>
      <c r="P66" s="14" t="n"/>
      <c r="Q66" s="10">
        <f>IF(O66="","",IF(P66&lt;&gt;"","replied",TODAY()-O66))</f>
        <v/>
      </c>
      <c r="R66" s="15">
        <f>IF(O66="","",IF(P66&lt;&gt;"","-",O66+7))</f>
        <v/>
      </c>
      <c r="S66" s="11" t="n"/>
      <c r="T66" s="11" t="n"/>
      <c r="U66" s="13" t="n"/>
    </row>
    <row r="67">
      <c r="A67" s="10">
        <f>IF(B67="","",ROW()-4)</f>
        <v/>
      </c>
      <c r="B67" s="11" t="n"/>
      <c r="C67" s="11" t="n"/>
      <c r="D67" s="11" t="n"/>
      <c r="E67" s="12" t="n"/>
      <c r="F67" s="11" t="n"/>
      <c r="G67" s="11" t="n"/>
      <c r="H67" s="11" t="n"/>
      <c r="I67" s="11" t="n"/>
      <c r="J67" s="13" t="n"/>
      <c r="K67" s="11" t="n"/>
      <c r="L67" s="11" t="n"/>
      <c r="M67" s="11" t="n"/>
      <c r="N67" s="11" t="n"/>
      <c r="O67" s="14" t="n"/>
      <c r="P67" s="14" t="n"/>
      <c r="Q67" s="10">
        <f>IF(O67="","",IF(P67&lt;&gt;"","replied",TODAY()-O67))</f>
        <v/>
      </c>
      <c r="R67" s="15">
        <f>IF(O67="","",IF(P67&lt;&gt;"","-",O67+7))</f>
        <v/>
      </c>
      <c r="S67" s="11" t="n"/>
      <c r="T67" s="11" t="n"/>
      <c r="U67" s="13" t="n"/>
    </row>
    <row r="68">
      <c r="A68" s="10">
        <f>IF(B68="","",ROW()-4)</f>
        <v/>
      </c>
      <c r="B68" s="11" t="n"/>
      <c r="C68" s="11" t="n"/>
      <c r="D68" s="11" t="n"/>
      <c r="E68" s="12" t="n"/>
      <c r="F68" s="11" t="n"/>
      <c r="G68" s="11" t="n"/>
      <c r="H68" s="11" t="n"/>
      <c r="I68" s="11" t="n"/>
      <c r="J68" s="13" t="n"/>
      <c r="K68" s="11" t="n"/>
      <c r="L68" s="11" t="n"/>
      <c r="M68" s="11" t="n"/>
      <c r="N68" s="11" t="n"/>
      <c r="O68" s="14" t="n"/>
      <c r="P68" s="14" t="n"/>
      <c r="Q68" s="10">
        <f>IF(O68="","",IF(P68&lt;&gt;"","replied",TODAY()-O68))</f>
        <v/>
      </c>
      <c r="R68" s="15">
        <f>IF(O68="","",IF(P68&lt;&gt;"","-",O68+7))</f>
        <v/>
      </c>
      <c r="S68" s="11" t="n"/>
      <c r="T68" s="11" t="n"/>
      <c r="U68" s="13" t="n"/>
    </row>
    <row r="69">
      <c r="A69" s="10">
        <f>IF(B69="","",ROW()-4)</f>
        <v/>
      </c>
      <c r="B69" s="11" t="n"/>
      <c r="C69" s="11" t="n"/>
      <c r="D69" s="11" t="n"/>
      <c r="E69" s="12" t="n"/>
      <c r="F69" s="11" t="n"/>
      <c r="G69" s="11" t="n"/>
      <c r="H69" s="11" t="n"/>
      <c r="I69" s="11" t="n"/>
      <c r="J69" s="13" t="n"/>
      <c r="K69" s="11" t="n"/>
      <c r="L69" s="11" t="n"/>
      <c r="M69" s="11" t="n"/>
      <c r="N69" s="11" t="n"/>
      <c r="O69" s="14" t="n"/>
      <c r="P69" s="14" t="n"/>
      <c r="Q69" s="10">
        <f>IF(O69="","",IF(P69&lt;&gt;"","replied",TODAY()-O69))</f>
        <v/>
      </c>
      <c r="R69" s="15">
        <f>IF(O69="","",IF(P69&lt;&gt;"","-",O69+7))</f>
        <v/>
      </c>
      <c r="S69" s="11" t="n"/>
      <c r="T69" s="11" t="n"/>
      <c r="U69" s="13" t="n"/>
    </row>
    <row r="70">
      <c r="A70" s="10">
        <f>IF(B70="","",ROW()-4)</f>
        <v/>
      </c>
      <c r="B70" s="11" t="n"/>
      <c r="C70" s="11" t="n"/>
      <c r="D70" s="11" t="n"/>
      <c r="E70" s="12" t="n"/>
      <c r="F70" s="11" t="n"/>
      <c r="G70" s="11" t="n"/>
      <c r="H70" s="11" t="n"/>
      <c r="I70" s="11" t="n"/>
      <c r="J70" s="13" t="n"/>
      <c r="K70" s="11" t="n"/>
      <c r="L70" s="11" t="n"/>
      <c r="M70" s="11" t="n"/>
      <c r="N70" s="11" t="n"/>
      <c r="O70" s="14" t="n"/>
      <c r="P70" s="14" t="n"/>
      <c r="Q70" s="10">
        <f>IF(O70="","",IF(P70&lt;&gt;"","replied",TODAY()-O70))</f>
        <v/>
      </c>
      <c r="R70" s="15">
        <f>IF(O70="","",IF(P70&lt;&gt;"","-",O70+7))</f>
        <v/>
      </c>
      <c r="S70" s="11" t="n"/>
      <c r="T70" s="11" t="n"/>
      <c r="U70" s="13" t="n"/>
    </row>
    <row r="71">
      <c r="A71" s="10">
        <f>IF(B71="","",ROW()-4)</f>
        <v/>
      </c>
      <c r="B71" s="11" t="n"/>
      <c r="C71" s="11" t="n"/>
      <c r="D71" s="11" t="n"/>
      <c r="E71" s="12" t="n"/>
      <c r="F71" s="11" t="n"/>
      <c r="G71" s="11" t="n"/>
      <c r="H71" s="11" t="n"/>
      <c r="I71" s="11" t="n"/>
      <c r="J71" s="13" t="n"/>
      <c r="K71" s="11" t="n"/>
      <c r="L71" s="11" t="n"/>
      <c r="M71" s="11" t="n"/>
      <c r="N71" s="11" t="n"/>
      <c r="O71" s="14" t="n"/>
      <c r="P71" s="14" t="n"/>
      <c r="Q71" s="10">
        <f>IF(O71="","",IF(P71&lt;&gt;"","replied",TODAY()-O71))</f>
        <v/>
      </c>
      <c r="R71" s="15">
        <f>IF(O71="","",IF(P71&lt;&gt;"","-",O71+7))</f>
        <v/>
      </c>
      <c r="S71" s="11" t="n"/>
      <c r="T71" s="11" t="n"/>
      <c r="U71" s="13" t="n"/>
    </row>
    <row r="72">
      <c r="A72" s="10">
        <f>IF(B72="","",ROW()-4)</f>
        <v/>
      </c>
      <c r="B72" s="11" t="n"/>
      <c r="C72" s="11" t="n"/>
      <c r="D72" s="11" t="n"/>
      <c r="E72" s="12" t="n"/>
      <c r="F72" s="11" t="n"/>
      <c r="G72" s="11" t="n"/>
      <c r="H72" s="11" t="n"/>
      <c r="I72" s="11" t="n"/>
      <c r="J72" s="13" t="n"/>
      <c r="K72" s="11" t="n"/>
      <c r="L72" s="11" t="n"/>
      <c r="M72" s="11" t="n"/>
      <c r="N72" s="11" t="n"/>
      <c r="O72" s="14" t="n"/>
      <c r="P72" s="14" t="n"/>
      <c r="Q72" s="10">
        <f>IF(O72="","",IF(P72&lt;&gt;"","replied",TODAY()-O72))</f>
        <v/>
      </c>
      <c r="R72" s="15">
        <f>IF(O72="","",IF(P72&lt;&gt;"","-",O72+7))</f>
        <v/>
      </c>
      <c r="S72" s="11" t="n"/>
      <c r="T72" s="11" t="n"/>
      <c r="U72" s="13" t="n"/>
    </row>
    <row r="73">
      <c r="A73" s="10">
        <f>IF(B73="","",ROW()-4)</f>
        <v/>
      </c>
      <c r="B73" s="11" t="n"/>
      <c r="C73" s="11" t="n"/>
      <c r="D73" s="11" t="n"/>
      <c r="E73" s="12" t="n"/>
      <c r="F73" s="11" t="n"/>
      <c r="G73" s="11" t="n"/>
      <c r="H73" s="11" t="n"/>
      <c r="I73" s="11" t="n"/>
      <c r="J73" s="13" t="n"/>
      <c r="K73" s="11" t="n"/>
      <c r="L73" s="11" t="n"/>
      <c r="M73" s="11" t="n"/>
      <c r="N73" s="11" t="n"/>
      <c r="O73" s="14" t="n"/>
      <c r="P73" s="14" t="n"/>
      <c r="Q73" s="10">
        <f>IF(O73="","",IF(P73&lt;&gt;"","replied",TODAY()-O73))</f>
        <v/>
      </c>
      <c r="R73" s="15">
        <f>IF(O73="","",IF(P73&lt;&gt;"","-",O73+7))</f>
        <v/>
      </c>
      <c r="S73" s="11" t="n"/>
      <c r="T73" s="11" t="n"/>
      <c r="U73" s="13" t="n"/>
    </row>
    <row r="74">
      <c r="A74" s="10">
        <f>IF(B74="","",ROW()-4)</f>
        <v/>
      </c>
      <c r="B74" s="11" t="n"/>
      <c r="C74" s="11" t="n"/>
      <c r="D74" s="11" t="n"/>
      <c r="E74" s="12" t="n"/>
      <c r="F74" s="11" t="n"/>
      <c r="G74" s="11" t="n"/>
      <c r="H74" s="11" t="n"/>
      <c r="I74" s="11" t="n"/>
      <c r="J74" s="13" t="n"/>
      <c r="K74" s="11" t="n"/>
      <c r="L74" s="11" t="n"/>
      <c r="M74" s="11" t="n"/>
      <c r="N74" s="11" t="n"/>
      <c r="O74" s="14" t="n"/>
      <c r="P74" s="14" t="n"/>
      <c r="Q74" s="10">
        <f>IF(O74="","",IF(P74&lt;&gt;"","replied",TODAY()-O74))</f>
        <v/>
      </c>
      <c r="R74" s="15">
        <f>IF(O74="","",IF(P74&lt;&gt;"","-",O74+7))</f>
        <v/>
      </c>
      <c r="S74" s="11" t="n"/>
      <c r="T74" s="11" t="n"/>
      <c r="U74" s="13" t="n"/>
    </row>
    <row r="75">
      <c r="A75" s="10">
        <f>IF(B75="","",ROW()-4)</f>
        <v/>
      </c>
      <c r="B75" s="11" t="n"/>
      <c r="C75" s="11" t="n"/>
      <c r="D75" s="11" t="n"/>
      <c r="E75" s="12" t="n"/>
      <c r="F75" s="11" t="n"/>
      <c r="G75" s="11" t="n"/>
      <c r="H75" s="11" t="n"/>
      <c r="I75" s="11" t="n"/>
      <c r="J75" s="13" t="n"/>
      <c r="K75" s="11" t="n"/>
      <c r="L75" s="11" t="n"/>
      <c r="M75" s="11" t="n"/>
      <c r="N75" s="11" t="n"/>
      <c r="O75" s="14" t="n"/>
      <c r="P75" s="14" t="n"/>
      <c r="Q75" s="10">
        <f>IF(O75="","",IF(P75&lt;&gt;"","replied",TODAY()-O75))</f>
        <v/>
      </c>
      <c r="R75" s="15">
        <f>IF(O75="","",IF(P75&lt;&gt;"","-",O75+7))</f>
        <v/>
      </c>
      <c r="S75" s="11" t="n"/>
      <c r="T75" s="11" t="n"/>
      <c r="U75" s="13" t="n"/>
    </row>
    <row r="76">
      <c r="A76" s="10">
        <f>IF(B76="","",ROW()-4)</f>
        <v/>
      </c>
      <c r="B76" s="11" t="n"/>
      <c r="C76" s="11" t="n"/>
      <c r="D76" s="11" t="n"/>
      <c r="E76" s="12" t="n"/>
      <c r="F76" s="11" t="n"/>
      <c r="G76" s="11" t="n"/>
      <c r="H76" s="11" t="n"/>
      <c r="I76" s="11" t="n"/>
      <c r="J76" s="13" t="n"/>
      <c r="K76" s="11" t="n"/>
      <c r="L76" s="11" t="n"/>
      <c r="M76" s="11" t="n"/>
      <c r="N76" s="11" t="n"/>
      <c r="O76" s="14" t="n"/>
      <c r="P76" s="14" t="n"/>
      <c r="Q76" s="10">
        <f>IF(O76="","",IF(P76&lt;&gt;"","replied",TODAY()-O76))</f>
        <v/>
      </c>
      <c r="R76" s="15">
        <f>IF(O76="","",IF(P76&lt;&gt;"","-",O76+7))</f>
        <v/>
      </c>
      <c r="S76" s="11" t="n"/>
      <c r="T76" s="11" t="n"/>
      <c r="U76" s="13" t="n"/>
    </row>
    <row r="77">
      <c r="A77" s="10">
        <f>IF(B77="","",ROW()-4)</f>
        <v/>
      </c>
      <c r="B77" s="11" t="n"/>
      <c r="C77" s="11" t="n"/>
      <c r="D77" s="11" t="n"/>
      <c r="E77" s="12" t="n"/>
      <c r="F77" s="11" t="n"/>
      <c r="G77" s="11" t="n"/>
      <c r="H77" s="11" t="n"/>
      <c r="I77" s="11" t="n"/>
      <c r="J77" s="13" t="n"/>
      <c r="K77" s="11" t="n"/>
      <c r="L77" s="11" t="n"/>
      <c r="M77" s="11" t="n"/>
      <c r="N77" s="11" t="n"/>
      <c r="O77" s="14" t="n"/>
      <c r="P77" s="14" t="n"/>
      <c r="Q77" s="10">
        <f>IF(O77="","",IF(P77&lt;&gt;"","replied",TODAY()-O77))</f>
        <v/>
      </c>
      <c r="R77" s="15">
        <f>IF(O77="","",IF(P77&lt;&gt;"","-",O77+7))</f>
        <v/>
      </c>
      <c r="S77" s="11" t="n"/>
      <c r="T77" s="11" t="n"/>
      <c r="U77" s="13" t="n"/>
    </row>
    <row r="78">
      <c r="A78" s="10">
        <f>IF(B78="","",ROW()-4)</f>
        <v/>
      </c>
      <c r="B78" s="11" t="n"/>
      <c r="C78" s="11" t="n"/>
      <c r="D78" s="11" t="n"/>
      <c r="E78" s="12" t="n"/>
      <c r="F78" s="11" t="n"/>
      <c r="G78" s="11" t="n"/>
      <c r="H78" s="11" t="n"/>
      <c r="I78" s="11" t="n"/>
      <c r="J78" s="13" t="n"/>
      <c r="K78" s="11" t="n"/>
      <c r="L78" s="11" t="n"/>
      <c r="M78" s="11" t="n"/>
      <c r="N78" s="11" t="n"/>
      <c r="O78" s="14" t="n"/>
      <c r="P78" s="14" t="n"/>
      <c r="Q78" s="10">
        <f>IF(O78="","",IF(P78&lt;&gt;"","replied",TODAY()-O78))</f>
        <v/>
      </c>
      <c r="R78" s="15">
        <f>IF(O78="","",IF(P78&lt;&gt;"","-",O78+7))</f>
        <v/>
      </c>
      <c r="S78" s="11" t="n"/>
      <c r="T78" s="11" t="n"/>
      <c r="U78" s="13" t="n"/>
    </row>
    <row r="79">
      <c r="A79" s="10">
        <f>IF(B79="","",ROW()-4)</f>
        <v/>
      </c>
      <c r="B79" s="11" t="n"/>
      <c r="C79" s="11" t="n"/>
      <c r="D79" s="11" t="n"/>
      <c r="E79" s="12" t="n"/>
      <c r="F79" s="11" t="n"/>
      <c r="G79" s="11" t="n"/>
      <c r="H79" s="11" t="n"/>
      <c r="I79" s="11" t="n"/>
      <c r="J79" s="13" t="n"/>
      <c r="K79" s="11" t="n"/>
      <c r="L79" s="11" t="n"/>
      <c r="M79" s="11" t="n"/>
      <c r="N79" s="11" t="n"/>
      <c r="O79" s="14" t="n"/>
      <c r="P79" s="14" t="n"/>
      <c r="Q79" s="10">
        <f>IF(O79="","",IF(P79&lt;&gt;"","replied",TODAY()-O79))</f>
        <v/>
      </c>
      <c r="R79" s="15">
        <f>IF(O79="","",IF(P79&lt;&gt;"","-",O79+7))</f>
        <v/>
      </c>
      <c r="S79" s="11" t="n"/>
      <c r="T79" s="11" t="n"/>
      <c r="U79" s="13" t="n"/>
    </row>
    <row r="80">
      <c r="A80" s="10">
        <f>IF(B80="","",ROW()-4)</f>
        <v/>
      </c>
      <c r="B80" s="11" t="n"/>
      <c r="C80" s="11" t="n"/>
      <c r="D80" s="11" t="n"/>
      <c r="E80" s="12" t="n"/>
      <c r="F80" s="11" t="n"/>
      <c r="G80" s="11" t="n"/>
      <c r="H80" s="11" t="n"/>
      <c r="I80" s="11" t="n"/>
      <c r="J80" s="13" t="n"/>
      <c r="K80" s="11" t="n"/>
      <c r="L80" s="11" t="n"/>
      <c r="M80" s="11" t="n"/>
      <c r="N80" s="11" t="n"/>
      <c r="O80" s="14" t="n"/>
      <c r="P80" s="14" t="n"/>
      <c r="Q80" s="10">
        <f>IF(O80="","",IF(P80&lt;&gt;"","replied",TODAY()-O80))</f>
        <v/>
      </c>
      <c r="R80" s="15">
        <f>IF(O80="","",IF(P80&lt;&gt;"","-",O80+7))</f>
        <v/>
      </c>
      <c r="S80" s="11" t="n"/>
      <c r="T80" s="11" t="n"/>
      <c r="U80" s="13" t="n"/>
    </row>
    <row r="81">
      <c r="A81" s="10">
        <f>IF(B81="","",ROW()-4)</f>
        <v/>
      </c>
      <c r="B81" s="11" t="n"/>
      <c r="C81" s="11" t="n"/>
      <c r="D81" s="11" t="n"/>
      <c r="E81" s="12" t="n"/>
      <c r="F81" s="11" t="n"/>
      <c r="G81" s="11" t="n"/>
      <c r="H81" s="11" t="n"/>
      <c r="I81" s="11" t="n"/>
      <c r="J81" s="13" t="n"/>
      <c r="K81" s="11" t="n"/>
      <c r="L81" s="11" t="n"/>
      <c r="M81" s="11" t="n"/>
      <c r="N81" s="11" t="n"/>
      <c r="O81" s="14" t="n"/>
      <c r="P81" s="14" t="n"/>
      <c r="Q81" s="10">
        <f>IF(O81="","",IF(P81&lt;&gt;"","replied",TODAY()-O81))</f>
        <v/>
      </c>
      <c r="R81" s="15">
        <f>IF(O81="","",IF(P81&lt;&gt;"","-",O81+7))</f>
        <v/>
      </c>
      <c r="S81" s="11" t="n"/>
      <c r="T81" s="11" t="n"/>
      <c r="U81" s="13" t="n"/>
    </row>
    <row r="82">
      <c r="A82" s="10">
        <f>IF(B82="","",ROW()-4)</f>
        <v/>
      </c>
      <c r="B82" s="11" t="n"/>
      <c r="C82" s="11" t="n"/>
      <c r="D82" s="11" t="n"/>
      <c r="E82" s="12" t="n"/>
      <c r="F82" s="11" t="n"/>
      <c r="G82" s="11" t="n"/>
      <c r="H82" s="11" t="n"/>
      <c r="I82" s="11" t="n"/>
      <c r="J82" s="13" t="n"/>
      <c r="K82" s="11" t="n"/>
      <c r="L82" s="11" t="n"/>
      <c r="M82" s="11" t="n"/>
      <c r="N82" s="11" t="n"/>
      <c r="O82" s="14" t="n"/>
      <c r="P82" s="14" t="n"/>
      <c r="Q82" s="10">
        <f>IF(O82="","",IF(P82&lt;&gt;"","replied",TODAY()-O82))</f>
        <v/>
      </c>
      <c r="R82" s="15">
        <f>IF(O82="","",IF(P82&lt;&gt;"","-",O82+7))</f>
        <v/>
      </c>
      <c r="S82" s="11" t="n"/>
      <c r="T82" s="11" t="n"/>
      <c r="U82" s="13" t="n"/>
    </row>
    <row r="83">
      <c r="A83" s="10">
        <f>IF(B83="","",ROW()-4)</f>
        <v/>
      </c>
      <c r="B83" s="11" t="n"/>
      <c r="C83" s="11" t="n"/>
      <c r="D83" s="11" t="n"/>
      <c r="E83" s="12" t="n"/>
      <c r="F83" s="11" t="n"/>
      <c r="G83" s="11" t="n"/>
      <c r="H83" s="11" t="n"/>
      <c r="I83" s="11" t="n"/>
      <c r="J83" s="13" t="n"/>
      <c r="K83" s="11" t="n"/>
      <c r="L83" s="11" t="n"/>
      <c r="M83" s="11" t="n"/>
      <c r="N83" s="11" t="n"/>
      <c r="O83" s="14" t="n"/>
      <c r="P83" s="14" t="n"/>
      <c r="Q83" s="10">
        <f>IF(O83="","",IF(P83&lt;&gt;"","replied",TODAY()-O83))</f>
        <v/>
      </c>
      <c r="R83" s="15">
        <f>IF(O83="","",IF(P83&lt;&gt;"","-",O83+7))</f>
        <v/>
      </c>
      <c r="S83" s="11" t="n"/>
      <c r="T83" s="11" t="n"/>
      <c r="U83" s="13" t="n"/>
    </row>
    <row r="84">
      <c r="A84" s="10">
        <f>IF(B84="","",ROW()-4)</f>
        <v/>
      </c>
      <c r="B84" s="11" t="n"/>
      <c r="C84" s="11" t="n"/>
      <c r="D84" s="11" t="n"/>
      <c r="E84" s="12" t="n"/>
      <c r="F84" s="11" t="n"/>
      <c r="G84" s="11" t="n"/>
      <c r="H84" s="11" t="n"/>
      <c r="I84" s="11" t="n"/>
      <c r="J84" s="13" t="n"/>
      <c r="K84" s="11" t="n"/>
      <c r="L84" s="11" t="n"/>
      <c r="M84" s="11" t="n"/>
      <c r="N84" s="11" t="n"/>
      <c r="O84" s="14" t="n"/>
      <c r="P84" s="14" t="n"/>
      <c r="Q84" s="10">
        <f>IF(O84="","",IF(P84&lt;&gt;"","replied",TODAY()-O84))</f>
        <v/>
      </c>
      <c r="R84" s="15">
        <f>IF(O84="","",IF(P84&lt;&gt;"","-",O84+7))</f>
        <v/>
      </c>
      <c r="S84" s="11" t="n"/>
      <c r="T84" s="11" t="n"/>
      <c r="U84" s="13" t="n"/>
    </row>
    <row r="85">
      <c r="A85" s="10">
        <f>IF(B85="","",ROW()-4)</f>
        <v/>
      </c>
      <c r="B85" s="11" t="n"/>
      <c r="C85" s="11" t="n"/>
      <c r="D85" s="11" t="n"/>
      <c r="E85" s="12" t="n"/>
      <c r="F85" s="11" t="n"/>
      <c r="G85" s="11" t="n"/>
      <c r="H85" s="11" t="n"/>
      <c r="I85" s="11" t="n"/>
      <c r="J85" s="13" t="n"/>
      <c r="K85" s="11" t="n"/>
      <c r="L85" s="11" t="n"/>
      <c r="M85" s="11" t="n"/>
      <c r="N85" s="11" t="n"/>
      <c r="O85" s="14" t="n"/>
      <c r="P85" s="14" t="n"/>
      <c r="Q85" s="10">
        <f>IF(O85="","",IF(P85&lt;&gt;"","replied",TODAY()-O85))</f>
        <v/>
      </c>
      <c r="R85" s="15">
        <f>IF(O85="","",IF(P85&lt;&gt;"","-",O85+7))</f>
        <v/>
      </c>
      <c r="S85" s="11" t="n"/>
      <c r="T85" s="11" t="n"/>
      <c r="U85" s="13" t="n"/>
    </row>
    <row r="86">
      <c r="A86" s="10">
        <f>IF(B86="","",ROW()-4)</f>
        <v/>
      </c>
      <c r="B86" s="11" t="n"/>
      <c r="C86" s="11" t="n"/>
      <c r="D86" s="11" t="n"/>
      <c r="E86" s="12" t="n"/>
      <c r="F86" s="11" t="n"/>
      <c r="G86" s="11" t="n"/>
      <c r="H86" s="11" t="n"/>
      <c r="I86" s="11" t="n"/>
      <c r="J86" s="13" t="n"/>
      <c r="K86" s="11" t="n"/>
      <c r="L86" s="11" t="n"/>
      <c r="M86" s="11" t="n"/>
      <c r="N86" s="11" t="n"/>
      <c r="O86" s="14" t="n"/>
      <c r="P86" s="14" t="n"/>
      <c r="Q86" s="10">
        <f>IF(O86="","",IF(P86&lt;&gt;"","replied",TODAY()-O86))</f>
        <v/>
      </c>
      <c r="R86" s="15">
        <f>IF(O86="","",IF(P86&lt;&gt;"","-",O86+7))</f>
        <v/>
      </c>
      <c r="S86" s="11" t="n"/>
      <c r="T86" s="11" t="n"/>
      <c r="U86" s="13" t="n"/>
    </row>
    <row r="87">
      <c r="A87" s="10">
        <f>IF(B87="","",ROW()-4)</f>
        <v/>
      </c>
      <c r="B87" s="11" t="n"/>
      <c r="C87" s="11" t="n"/>
      <c r="D87" s="11" t="n"/>
      <c r="E87" s="12" t="n"/>
      <c r="F87" s="11" t="n"/>
      <c r="G87" s="11" t="n"/>
      <c r="H87" s="11" t="n"/>
      <c r="I87" s="11" t="n"/>
      <c r="J87" s="13" t="n"/>
      <c r="K87" s="11" t="n"/>
      <c r="L87" s="11" t="n"/>
      <c r="M87" s="11" t="n"/>
      <c r="N87" s="11" t="n"/>
      <c r="O87" s="14" t="n"/>
      <c r="P87" s="14" t="n"/>
      <c r="Q87" s="10">
        <f>IF(O87="","",IF(P87&lt;&gt;"","replied",TODAY()-O87))</f>
        <v/>
      </c>
      <c r="R87" s="15">
        <f>IF(O87="","",IF(P87&lt;&gt;"","-",O87+7))</f>
        <v/>
      </c>
      <c r="S87" s="11" t="n"/>
      <c r="T87" s="11" t="n"/>
      <c r="U87" s="13" t="n"/>
    </row>
    <row r="88">
      <c r="A88" s="10">
        <f>IF(B88="","",ROW()-4)</f>
        <v/>
      </c>
      <c r="B88" s="11" t="n"/>
      <c r="C88" s="11" t="n"/>
      <c r="D88" s="11" t="n"/>
      <c r="E88" s="12" t="n"/>
      <c r="F88" s="11" t="n"/>
      <c r="G88" s="11" t="n"/>
      <c r="H88" s="11" t="n"/>
      <c r="I88" s="11" t="n"/>
      <c r="J88" s="13" t="n"/>
      <c r="K88" s="11" t="n"/>
      <c r="L88" s="11" t="n"/>
      <c r="M88" s="11" t="n"/>
      <c r="N88" s="11" t="n"/>
      <c r="O88" s="14" t="n"/>
      <c r="P88" s="14" t="n"/>
      <c r="Q88" s="10">
        <f>IF(O88="","",IF(P88&lt;&gt;"","replied",TODAY()-O88))</f>
        <v/>
      </c>
      <c r="R88" s="15">
        <f>IF(O88="","",IF(P88&lt;&gt;"","-",O88+7))</f>
        <v/>
      </c>
      <c r="S88" s="11" t="n"/>
      <c r="T88" s="11" t="n"/>
      <c r="U88" s="13" t="n"/>
    </row>
    <row r="89">
      <c r="A89" s="10">
        <f>IF(B89="","",ROW()-4)</f>
        <v/>
      </c>
      <c r="B89" s="11" t="n"/>
      <c r="C89" s="11" t="n"/>
      <c r="D89" s="11" t="n"/>
      <c r="E89" s="12" t="n"/>
      <c r="F89" s="11" t="n"/>
      <c r="G89" s="11" t="n"/>
      <c r="H89" s="11" t="n"/>
      <c r="I89" s="11" t="n"/>
      <c r="J89" s="13" t="n"/>
      <c r="K89" s="11" t="n"/>
      <c r="L89" s="11" t="n"/>
      <c r="M89" s="11" t="n"/>
      <c r="N89" s="11" t="n"/>
      <c r="O89" s="14" t="n"/>
      <c r="P89" s="14" t="n"/>
      <c r="Q89" s="10">
        <f>IF(O89="","",IF(P89&lt;&gt;"","replied",TODAY()-O89))</f>
        <v/>
      </c>
      <c r="R89" s="15">
        <f>IF(O89="","",IF(P89&lt;&gt;"","-",O89+7))</f>
        <v/>
      </c>
      <c r="S89" s="11" t="n"/>
      <c r="T89" s="11" t="n"/>
      <c r="U89" s="13" t="n"/>
    </row>
    <row r="90">
      <c r="A90" s="10">
        <f>IF(B90="","",ROW()-4)</f>
        <v/>
      </c>
      <c r="B90" s="11" t="n"/>
      <c r="C90" s="11" t="n"/>
      <c r="D90" s="11" t="n"/>
      <c r="E90" s="12" t="n"/>
      <c r="F90" s="11" t="n"/>
      <c r="G90" s="11" t="n"/>
      <c r="H90" s="11" t="n"/>
      <c r="I90" s="11" t="n"/>
      <c r="J90" s="13" t="n"/>
      <c r="K90" s="11" t="n"/>
      <c r="L90" s="11" t="n"/>
      <c r="M90" s="11" t="n"/>
      <c r="N90" s="11" t="n"/>
      <c r="O90" s="14" t="n"/>
      <c r="P90" s="14" t="n"/>
      <c r="Q90" s="10">
        <f>IF(O90="","",IF(P90&lt;&gt;"","replied",TODAY()-O90))</f>
        <v/>
      </c>
      <c r="R90" s="15">
        <f>IF(O90="","",IF(P90&lt;&gt;"","-",O90+7))</f>
        <v/>
      </c>
      <c r="S90" s="11" t="n"/>
      <c r="T90" s="11" t="n"/>
      <c r="U90" s="13" t="n"/>
    </row>
    <row r="91">
      <c r="A91" s="10">
        <f>IF(B91="","",ROW()-4)</f>
        <v/>
      </c>
      <c r="B91" s="11" t="n"/>
      <c r="C91" s="11" t="n"/>
      <c r="D91" s="11" t="n"/>
      <c r="E91" s="12" t="n"/>
      <c r="F91" s="11" t="n"/>
      <c r="G91" s="11" t="n"/>
      <c r="H91" s="11" t="n"/>
      <c r="I91" s="11" t="n"/>
      <c r="J91" s="13" t="n"/>
      <c r="K91" s="11" t="n"/>
      <c r="L91" s="11" t="n"/>
      <c r="M91" s="11" t="n"/>
      <c r="N91" s="11" t="n"/>
      <c r="O91" s="14" t="n"/>
      <c r="P91" s="14" t="n"/>
      <c r="Q91" s="10">
        <f>IF(O91="","",IF(P91&lt;&gt;"","replied",TODAY()-O91))</f>
        <v/>
      </c>
      <c r="R91" s="15">
        <f>IF(O91="","",IF(P91&lt;&gt;"","-",O91+7))</f>
        <v/>
      </c>
      <c r="S91" s="11" t="n"/>
      <c r="T91" s="11" t="n"/>
      <c r="U91" s="13" t="n"/>
    </row>
    <row r="92">
      <c r="A92" s="10">
        <f>IF(B92="","",ROW()-4)</f>
        <v/>
      </c>
      <c r="B92" s="11" t="n"/>
      <c r="C92" s="11" t="n"/>
      <c r="D92" s="11" t="n"/>
      <c r="E92" s="12" t="n"/>
      <c r="F92" s="11" t="n"/>
      <c r="G92" s="11" t="n"/>
      <c r="H92" s="11" t="n"/>
      <c r="I92" s="11" t="n"/>
      <c r="J92" s="13" t="n"/>
      <c r="K92" s="11" t="n"/>
      <c r="L92" s="11" t="n"/>
      <c r="M92" s="11" t="n"/>
      <c r="N92" s="11" t="n"/>
      <c r="O92" s="14" t="n"/>
      <c r="P92" s="14" t="n"/>
      <c r="Q92" s="10">
        <f>IF(O92="","",IF(P92&lt;&gt;"","replied",TODAY()-O92))</f>
        <v/>
      </c>
      <c r="R92" s="15">
        <f>IF(O92="","",IF(P92&lt;&gt;"","-",O92+7))</f>
        <v/>
      </c>
      <c r="S92" s="11" t="n"/>
      <c r="T92" s="11" t="n"/>
      <c r="U92" s="13" t="n"/>
    </row>
    <row r="93">
      <c r="A93" s="10">
        <f>IF(B93="","",ROW()-4)</f>
        <v/>
      </c>
      <c r="B93" s="11" t="n"/>
      <c r="C93" s="11" t="n"/>
      <c r="D93" s="11" t="n"/>
      <c r="E93" s="12" t="n"/>
      <c r="F93" s="11" t="n"/>
      <c r="G93" s="11" t="n"/>
      <c r="H93" s="11" t="n"/>
      <c r="I93" s="11" t="n"/>
      <c r="J93" s="13" t="n"/>
      <c r="K93" s="11" t="n"/>
      <c r="L93" s="11" t="n"/>
      <c r="M93" s="11" t="n"/>
      <c r="N93" s="11" t="n"/>
      <c r="O93" s="14" t="n"/>
      <c r="P93" s="14" t="n"/>
      <c r="Q93" s="10">
        <f>IF(O93="","",IF(P93&lt;&gt;"","replied",TODAY()-O93))</f>
        <v/>
      </c>
      <c r="R93" s="15">
        <f>IF(O93="","",IF(P93&lt;&gt;"","-",O93+7))</f>
        <v/>
      </c>
      <c r="S93" s="11" t="n"/>
      <c r="T93" s="11" t="n"/>
      <c r="U93" s="13" t="n"/>
    </row>
    <row r="94">
      <c r="A94" s="10">
        <f>IF(B94="","",ROW()-4)</f>
        <v/>
      </c>
      <c r="B94" s="11" t="n"/>
      <c r="C94" s="11" t="n"/>
      <c r="D94" s="11" t="n"/>
      <c r="E94" s="12" t="n"/>
      <c r="F94" s="11" t="n"/>
      <c r="G94" s="11" t="n"/>
      <c r="H94" s="11" t="n"/>
      <c r="I94" s="11" t="n"/>
      <c r="J94" s="13" t="n"/>
      <c r="K94" s="11" t="n"/>
      <c r="L94" s="11" t="n"/>
      <c r="M94" s="11" t="n"/>
      <c r="N94" s="11" t="n"/>
      <c r="O94" s="14" t="n"/>
      <c r="P94" s="14" t="n"/>
      <c r="Q94" s="10">
        <f>IF(O94="","",IF(P94&lt;&gt;"","replied",TODAY()-O94))</f>
        <v/>
      </c>
      <c r="R94" s="15">
        <f>IF(O94="","",IF(P94&lt;&gt;"","-",O94+7))</f>
        <v/>
      </c>
      <c r="S94" s="11" t="n"/>
      <c r="T94" s="11" t="n"/>
      <c r="U94" s="13" t="n"/>
    </row>
    <row r="95">
      <c r="A95" s="10">
        <f>IF(B95="","",ROW()-4)</f>
        <v/>
      </c>
      <c r="B95" s="11" t="n"/>
      <c r="C95" s="11" t="n"/>
      <c r="D95" s="11" t="n"/>
      <c r="E95" s="12" t="n"/>
      <c r="F95" s="11" t="n"/>
      <c r="G95" s="11" t="n"/>
      <c r="H95" s="11" t="n"/>
      <c r="I95" s="11" t="n"/>
      <c r="J95" s="13" t="n"/>
      <c r="K95" s="11" t="n"/>
      <c r="L95" s="11" t="n"/>
      <c r="M95" s="11" t="n"/>
      <c r="N95" s="11" t="n"/>
      <c r="O95" s="14" t="n"/>
      <c r="P95" s="14" t="n"/>
      <c r="Q95" s="10">
        <f>IF(O95="","",IF(P95&lt;&gt;"","replied",TODAY()-O95))</f>
        <v/>
      </c>
      <c r="R95" s="15">
        <f>IF(O95="","",IF(P95&lt;&gt;"","-",O95+7))</f>
        <v/>
      </c>
      <c r="S95" s="11" t="n"/>
      <c r="T95" s="11" t="n"/>
      <c r="U95" s="13" t="n"/>
    </row>
    <row r="96">
      <c r="A96" s="10">
        <f>IF(B96="","",ROW()-4)</f>
        <v/>
      </c>
      <c r="B96" s="11" t="n"/>
      <c r="C96" s="11" t="n"/>
      <c r="D96" s="11" t="n"/>
      <c r="E96" s="12" t="n"/>
      <c r="F96" s="11" t="n"/>
      <c r="G96" s="11" t="n"/>
      <c r="H96" s="11" t="n"/>
      <c r="I96" s="11" t="n"/>
      <c r="J96" s="13" t="n"/>
      <c r="K96" s="11" t="n"/>
      <c r="L96" s="11" t="n"/>
      <c r="M96" s="11" t="n"/>
      <c r="N96" s="11" t="n"/>
      <c r="O96" s="14" t="n"/>
      <c r="P96" s="14" t="n"/>
      <c r="Q96" s="10">
        <f>IF(O96="","",IF(P96&lt;&gt;"","replied",TODAY()-O96))</f>
        <v/>
      </c>
      <c r="R96" s="15">
        <f>IF(O96="","",IF(P96&lt;&gt;"","-",O96+7))</f>
        <v/>
      </c>
      <c r="S96" s="11" t="n"/>
      <c r="T96" s="11" t="n"/>
      <c r="U96" s="13" t="n"/>
    </row>
    <row r="97">
      <c r="A97" s="10">
        <f>IF(B97="","",ROW()-4)</f>
        <v/>
      </c>
      <c r="B97" s="11" t="n"/>
      <c r="C97" s="11" t="n"/>
      <c r="D97" s="11" t="n"/>
      <c r="E97" s="12" t="n"/>
      <c r="F97" s="11" t="n"/>
      <c r="G97" s="11" t="n"/>
      <c r="H97" s="11" t="n"/>
      <c r="I97" s="11" t="n"/>
      <c r="J97" s="13" t="n"/>
      <c r="K97" s="11" t="n"/>
      <c r="L97" s="11" t="n"/>
      <c r="M97" s="11" t="n"/>
      <c r="N97" s="11" t="n"/>
      <c r="O97" s="14" t="n"/>
      <c r="P97" s="14" t="n"/>
      <c r="Q97" s="10">
        <f>IF(O97="","",IF(P97&lt;&gt;"","replied",TODAY()-O97))</f>
        <v/>
      </c>
      <c r="R97" s="15">
        <f>IF(O97="","",IF(P97&lt;&gt;"","-",O97+7))</f>
        <v/>
      </c>
      <c r="S97" s="11" t="n"/>
      <c r="T97" s="11" t="n"/>
      <c r="U97" s="13" t="n"/>
    </row>
    <row r="98">
      <c r="A98" s="10">
        <f>IF(B98="","",ROW()-4)</f>
        <v/>
      </c>
      <c r="B98" s="11" t="n"/>
      <c r="C98" s="11" t="n"/>
      <c r="D98" s="11" t="n"/>
      <c r="E98" s="12" t="n"/>
      <c r="F98" s="11" t="n"/>
      <c r="G98" s="11" t="n"/>
      <c r="H98" s="11" t="n"/>
      <c r="I98" s="11" t="n"/>
      <c r="J98" s="13" t="n"/>
      <c r="K98" s="11" t="n"/>
      <c r="L98" s="11" t="n"/>
      <c r="M98" s="11" t="n"/>
      <c r="N98" s="11" t="n"/>
      <c r="O98" s="14" t="n"/>
      <c r="P98" s="14" t="n"/>
      <c r="Q98" s="10">
        <f>IF(O98="","",IF(P98&lt;&gt;"","replied",TODAY()-O98))</f>
        <v/>
      </c>
      <c r="R98" s="15">
        <f>IF(O98="","",IF(P98&lt;&gt;"","-",O98+7))</f>
        <v/>
      </c>
      <c r="S98" s="11" t="n"/>
      <c r="T98" s="11" t="n"/>
      <c r="U98" s="13" t="n"/>
    </row>
    <row r="99">
      <c r="A99" s="10">
        <f>IF(B99="","",ROW()-4)</f>
        <v/>
      </c>
      <c r="B99" s="11" t="n"/>
      <c r="C99" s="11" t="n"/>
      <c r="D99" s="11" t="n"/>
      <c r="E99" s="12" t="n"/>
      <c r="F99" s="11" t="n"/>
      <c r="G99" s="11" t="n"/>
      <c r="H99" s="11" t="n"/>
      <c r="I99" s="11" t="n"/>
      <c r="J99" s="13" t="n"/>
      <c r="K99" s="11" t="n"/>
      <c r="L99" s="11" t="n"/>
      <c r="M99" s="11" t="n"/>
      <c r="N99" s="11" t="n"/>
      <c r="O99" s="14" t="n"/>
      <c r="P99" s="14" t="n"/>
      <c r="Q99" s="10">
        <f>IF(O99="","",IF(P99&lt;&gt;"","replied",TODAY()-O99))</f>
        <v/>
      </c>
      <c r="R99" s="15">
        <f>IF(O99="","",IF(P99&lt;&gt;"","-",O99+7))</f>
        <v/>
      </c>
      <c r="S99" s="11" t="n"/>
      <c r="T99" s="11" t="n"/>
      <c r="U99" s="13" t="n"/>
    </row>
    <row r="100">
      <c r="A100" s="10">
        <f>IF(B100="","",ROW()-4)</f>
        <v/>
      </c>
      <c r="B100" s="11" t="n"/>
      <c r="C100" s="11" t="n"/>
      <c r="D100" s="11" t="n"/>
      <c r="E100" s="12" t="n"/>
      <c r="F100" s="11" t="n"/>
      <c r="G100" s="11" t="n"/>
      <c r="H100" s="11" t="n"/>
      <c r="I100" s="11" t="n"/>
      <c r="J100" s="13" t="n"/>
      <c r="K100" s="11" t="n"/>
      <c r="L100" s="11" t="n"/>
      <c r="M100" s="11" t="n"/>
      <c r="N100" s="11" t="n"/>
      <c r="O100" s="14" t="n"/>
      <c r="P100" s="14" t="n"/>
      <c r="Q100" s="10">
        <f>IF(O100="","",IF(P100&lt;&gt;"","replied",TODAY()-O100))</f>
        <v/>
      </c>
      <c r="R100" s="15">
        <f>IF(O100="","",IF(P100&lt;&gt;"","-",O100+7))</f>
        <v/>
      </c>
      <c r="S100" s="11" t="n"/>
      <c r="T100" s="11" t="n"/>
      <c r="U100" s="13" t="n"/>
    </row>
    <row r="101">
      <c r="A101" s="10">
        <f>IF(B101="","",ROW()-4)</f>
        <v/>
      </c>
      <c r="B101" s="11" t="n"/>
      <c r="C101" s="11" t="n"/>
      <c r="D101" s="11" t="n"/>
      <c r="E101" s="12" t="n"/>
      <c r="F101" s="11" t="n"/>
      <c r="G101" s="11" t="n"/>
      <c r="H101" s="11" t="n"/>
      <c r="I101" s="11" t="n"/>
      <c r="J101" s="13" t="n"/>
      <c r="K101" s="11" t="n"/>
      <c r="L101" s="11" t="n"/>
      <c r="M101" s="11" t="n"/>
      <c r="N101" s="11" t="n"/>
      <c r="O101" s="14" t="n"/>
      <c r="P101" s="14" t="n"/>
      <c r="Q101" s="10">
        <f>IF(O101="","",IF(P101&lt;&gt;"","replied",TODAY()-O101))</f>
        <v/>
      </c>
      <c r="R101" s="15">
        <f>IF(O101="","",IF(P101&lt;&gt;"","-",O101+7))</f>
        <v/>
      </c>
      <c r="S101" s="11" t="n"/>
      <c r="T101" s="11" t="n"/>
      <c r="U101" s="13" t="n"/>
    </row>
    <row r="102">
      <c r="A102" s="10">
        <f>IF(B102="","",ROW()-4)</f>
        <v/>
      </c>
      <c r="B102" s="11" t="n"/>
      <c r="C102" s="11" t="n"/>
      <c r="D102" s="11" t="n"/>
      <c r="E102" s="12" t="n"/>
      <c r="F102" s="11" t="n"/>
      <c r="G102" s="11" t="n"/>
      <c r="H102" s="11" t="n"/>
      <c r="I102" s="11" t="n"/>
      <c r="J102" s="13" t="n"/>
      <c r="K102" s="11" t="n"/>
      <c r="L102" s="11" t="n"/>
      <c r="M102" s="11" t="n"/>
      <c r="N102" s="11" t="n"/>
      <c r="O102" s="14" t="n"/>
      <c r="P102" s="14" t="n"/>
      <c r="Q102" s="10">
        <f>IF(O102="","",IF(P102&lt;&gt;"","replied",TODAY()-O102))</f>
        <v/>
      </c>
      <c r="R102" s="15">
        <f>IF(O102="","",IF(P102&lt;&gt;"","-",O102+7))</f>
        <v/>
      </c>
      <c r="S102" s="11" t="n"/>
      <c r="T102" s="11" t="n"/>
      <c r="U102" s="13" t="n"/>
    </row>
    <row r="103">
      <c r="A103" s="10">
        <f>IF(B103="","",ROW()-4)</f>
        <v/>
      </c>
      <c r="B103" s="11" t="n"/>
      <c r="C103" s="11" t="n"/>
      <c r="D103" s="11" t="n"/>
      <c r="E103" s="12" t="n"/>
      <c r="F103" s="11" t="n"/>
      <c r="G103" s="11" t="n"/>
      <c r="H103" s="11" t="n"/>
      <c r="I103" s="11" t="n"/>
      <c r="J103" s="13" t="n"/>
      <c r="K103" s="11" t="n"/>
      <c r="L103" s="11" t="n"/>
      <c r="M103" s="11" t="n"/>
      <c r="N103" s="11" t="n"/>
      <c r="O103" s="14" t="n"/>
      <c r="P103" s="14" t="n"/>
      <c r="Q103" s="10">
        <f>IF(O103="","",IF(P103&lt;&gt;"","replied",TODAY()-O103))</f>
        <v/>
      </c>
      <c r="R103" s="15">
        <f>IF(O103="","",IF(P103&lt;&gt;"","-",O103+7))</f>
        <v/>
      </c>
      <c r="S103" s="11" t="n"/>
      <c r="T103" s="11" t="n"/>
      <c r="U103" s="13" t="n"/>
    </row>
    <row r="104">
      <c r="A104" s="10">
        <f>IF(B104="","",ROW()-4)</f>
        <v/>
      </c>
      <c r="B104" s="11" t="n"/>
      <c r="C104" s="11" t="n"/>
      <c r="D104" s="11" t="n"/>
      <c r="E104" s="12" t="n"/>
      <c r="F104" s="11" t="n"/>
      <c r="G104" s="11" t="n"/>
      <c r="H104" s="11" t="n"/>
      <c r="I104" s="11" t="n"/>
      <c r="J104" s="13" t="n"/>
      <c r="K104" s="11" t="n"/>
      <c r="L104" s="11" t="n"/>
      <c r="M104" s="11" t="n"/>
      <c r="N104" s="11" t="n"/>
      <c r="O104" s="14" t="n"/>
      <c r="P104" s="14" t="n"/>
      <c r="Q104" s="10">
        <f>IF(O104="","",IF(P104&lt;&gt;"","replied",TODAY()-O104))</f>
        <v/>
      </c>
      <c r="R104" s="15">
        <f>IF(O104="","",IF(P104&lt;&gt;"","-",O104+7))</f>
        <v/>
      </c>
      <c r="S104" s="11" t="n"/>
      <c r="T104" s="11" t="n"/>
      <c r="U104" s="13" t="n"/>
    </row>
    <row r="105">
      <c r="A105" s="10">
        <f>IF(B105="","",ROW()-4)</f>
        <v/>
      </c>
      <c r="B105" s="11" t="n"/>
      <c r="C105" s="11" t="n"/>
      <c r="D105" s="11" t="n"/>
      <c r="E105" s="12" t="n"/>
      <c r="F105" s="11" t="n"/>
      <c r="G105" s="11" t="n"/>
      <c r="H105" s="11" t="n"/>
      <c r="I105" s="11" t="n"/>
      <c r="J105" s="13" t="n"/>
      <c r="K105" s="11" t="n"/>
      <c r="L105" s="11" t="n"/>
      <c r="M105" s="11" t="n"/>
      <c r="N105" s="11" t="n"/>
      <c r="O105" s="14" t="n"/>
      <c r="P105" s="14" t="n"/>
      <c r="Q105" s="10">
        <f>IF(O105="","",IF(P105&lt;&gt;"","replied",TODAY()-O105))</f>
        <v/>
      </c>
      <c r="R105" s="15">
        <f>IF(O105="","",IF(P105&lt;&gt;"","-",O105+7))</f>
        <v/>
      </c>
      <c r="S105" s="11" t="n"/>
      <c r="T105" s="11" t="n"/>
      <c r="U105" s="13" t="n"/>
    </row>
    <row r="106">
      <c r="A106" s="10">
        <f>IF(B106="","",ROW()-4)</f>
        <v/>
      </c>
      <c r="B106" s="11" t="n"/>
      <c r="C106" s="11" t="n"/>
      <c r="D106" s="11" t="n"/>
      <c r="E106" s="12" t="n"/>
      <c r="F106" s="11" t="n"/>
      <c r="G106" s="11" t="n"/>
      <c r="H106" s="11" t="n"/>
      <c r="I106" s="11" t="n"/>
      <c r="J106" s="13" t="n"/>
      <c r="K106" s="11" t="n"/>
      <c r="L106" s="11" t="n"/>
      <c r="M106" s="11" t="n"/>
      <c r="N106" s="11" t="n"/>
      <c r="O106" s="14" t="n"/>
      <c r="P106" s="14" t="n"/>
      <c r="Q106" s="10">
        <f>IF(O106="","",IF(P106&lt;&gt;"","replied",TODAY()-O106))</f>
        <v/>
      </c>
      <c r="R106" s="15">
        <f>IF(O106="","",IF(P106&lt;&gt;"","-",O106+7))</f>
        <v/>
      </c>
      <c r="S106" s="11" t="n"/>
      <c r="T106" s="11" t="n"/>
      <c r="U106" s="13" t="n"/>
    </row>
    <row r="107">
      <c r="A107" s="10">
        <f>IF(B107="","",ROW()-4)</f>
        <v/>
      </c>
      <c r="B107" s="11" t="n"/>
      <c r="C107" s="11" t="n"/>
      <c r="D107" s="11" t="n"/>
      <c r="E107" s="12" t="n"/>
      <c r="F107" s="11" t="n"/>
      <c r="G107" s="11" t="n"/>
      <c r="H107" s="11" t="n"/>
      <c r="I107" s="11" t="n"/>
      <c r="J107" s="13" t="n"/>
      <c r="K107" s="11" t="n"/>
      <c r="L107" s="11" t="n"/>
      <c r="M107" s="11" t="n"/>
      <c r="N107" s="11" t="n"/>
      <c r="O107" s="14" t="n"/>
      <c r="P107" s="14" t="n"/>
      <c r="Q107" s="10">
        <f>IF(O107="","",IF(P107&lt;&gt;"","replied",TODAY()-O107))</f>
        <v/>
      </c>
      <c r="R107" s="15">
        <f>IF(O107="","",IF(P107&lt;&gt;"","-",O107+7))</f>
        <v/>
      </c>
      <c r="S107" s="11" t="n"/>
      <c r="T107" s="11" t="n"/>
      <c r="U107" s="13" t="n"/>
    </row>
    <row r="108">
      <c r="A108" s="10">
        <f>IF(B108="","",ROW()-4)</f>
        <v/>
      </c>
      <c r="B108" s="11" t="n"/>
      <c r="C108" s="11" t="n"/>
      <c r="D108" s="11" t="n"/>
      <c r="E108" s="12" t="n"/>
      <c r="F108" s="11" t="n"/>
      <c r="G108" s="11" t="n"/>
      <c r="H108" s="11" t="n"/>
      <c r="I108" s="11" t="n"/>
      <c r="J108" s="13" t="n"/>
      <c r="K108" s="11" t="n"/>
      <c r="L108" s="11" t="n"/>
      <c r="M108" s="11" t="n"/>
      <c r="N108" s="11" t="n"/>
      <c r="O108" s="14" t="n"/>
      <c r="P108" s="14" t="n"/>
      <c r="Q108" s="10">
        <f>IF(O108="","",IF(P108&lt;&gt;"","replied",TODAY()-O108))</f>
        <v/>
      </c>
      <c r="R108" s="15">
        <f>IF(O108="","",IF(P108&lt;&gt;"","-",O108+7))</f>
        <v/>
      </c>
      <c r="S108" s="11" t="n"/>
      <c r="T108" s="11" t="n"/>
      <c r="U108" s="13" t="n"/>
    </row>
    <row r="109">
      <c r="A109" s="10">
        <f>IF(B109="","",ROW()-4)</f>
        <v/>
      </c>
      <c r="B109" s="11" t="n"/>
      <c r="C109" s="11" t="n"/>
      <c r="D109" s="11" t="n"/>
      <c r="E109" s="12" t="n"/>
      <c r="F109" s="11" t="n"/>
      <c r="G109" s="11" t="n"/>
      <c r="H109" s="11" t="n"/>
      <c r="I109" s="11" t="n"/>
      <c r="J109" s="13" t="n"/>
      <c r="K109" s="11" t="n"/>
      <c r="L109" s="11" t="n"/>
      <c r="M109" s="11" t="n"/>
      <c r="N109" s="11" t="n"/>
      <c r="O109" s="14" t="n"/>
      <c r="P109" s="14" t="n"/>
      <c r="Q109" s="10">
        <f>IF(O109="","",IF(P109&lt;&gt;"","replied",TODAY()-O109))</f>
        <v/>
      </c>
      <c r="R109" s="15">
        <f>IF(O109="","",IF(P109&lt;&gt;"","-",O109+7))</f>
        <v/>
      </c>
      <c r="S109" s="11" t="n"/>
      <c r="T109" s="11" t="n"/>
      <c r="U109" s="13" t="n"/>
    </row>
    <row r="110">
      <c r="A110" s="10">
        <f>IF(B110="","",ROW()-4)</f>
        <v/>
      </c>
      <c r="B110" s="11" t="n"/>
      <c r="C110" s="11" t="n"/>
      <c r="D110" s="11" t="n"/>
      <c r="E110" s="12" t="n"/>
      <c r="F110" s="11" t="n"/>
      <c r="G110" s="11" t="n"/>
      <c r="H110" s="11" t="n"/>
      <c r="I110" s="11" t="n"/>
      <c r="J110" s="13" t="n"/>
      <c r="K110" s="11" t="n"/>
      <c r="L110" s="11" t="n"/>
      <c r="M110" s="11" t="n"/>
      <c r="N110" s="11" t="n"/>
      <c r="O110" s="14" t="n"/>
      <c r="P110" s="14" t="n"/>
      <c r="Q110" s="10">
        <f>IF(O110="","",IF(P110&lt;&gt;"","replied",TODAY()-O110))</f>
        <v/>
      </c>
      <c r="R110" s="15">
        <f>IF(O110="","",IF(P110&lt;&gt;"","-",O110+7))</f>
        <v/>
      </c>
      <c r="S110" s="11" t="n"/>
      <c r="T110" s="11" t="n"/>
      <c r="U110" s="13" t="n"/>
    </row>
    <row r="111">
      <c r="A111" s="10">
        <f>IF(B111="","",ROW()-4)</f>
        <v/>
      </c>
      <c r="B111" s="11" t="n"/>
      <c r="C111" s="11" t="n"/>
      <c r="D111" s="11" t="n"/>
      <c r="E111" s="12" t="n"/>
      <c r="F111" s="11" t="n"/>
      <c r="G111" s="11" t="n"/>
      <c r="H111" s="11" t="n"/>
      <c r="I111" s="11" t="n"/>
      <c r="J111" s="13" t="n"/>
      <c r="K111" s="11" t="n"/>
      <c r="L111" s="11" t="n"/>
      <c r="M111" s="11" t="n"/>
      <c r="N111" s="11" t="n"/>
      <c r="O111" s="14" t="n"/>
      <c r="P111" s="14" t="n"/>
      <c r="Q111" s="10">
        <f>IF(O111="","",IF(P111&lt;&gt;"","replied",TODAY()-O111))</f>
        <v/>
      </c>
      <c r="R111" s="15">
        <f>IF(O111="","",IF(P111&lt;&gt;"","-",O111+7))</f>
        <v/>
      </c>
      <c r="S111" s="11" t="n"/>
      <c r="T111" s="11" t="n"/>
      <c r="U111" s="13" t="n"/>
    </row>
    <row r="112">
      <c r="A112" s="10">
        <f>IF(B112="","",ROW()-4)</f>
        <v/>
      </c>
      <c r="B112" s="11" t="n"/>
      <c r="C112" s="11" t="n"/>
      <c r="D112" s="11" t="n"/>
      <c r="E112" s="12" t="n"/>
      <c r="F112" s="11" t="n"/>
      <c r="G112" s="11" t="n"/>
      <c r="H112" s="11" t="n"/>
      <c r="I112" s="11" t="n"/>
      <c r="J112" s="13" t="n"/>
      <c r="K112" s="11" t="n"/>
      <c r="L112" s="11" t="n"/>
      <c r="M112" s="11" t="n"/>
      <c r="N112" s="11" t="n"/>
      <c r="O112" s="14" t="n"/>
      <c r="P112" s="14" t="n"/>
      <c r="Q112" s="10">
        <f>IF(O112="","",IF(P112&lt;&gt;"","replied",TODAY()-O112))</f>
        <v/>
      </c>
      <c r="R112" s="15">
        <f>IF(O112="","",IF(P112&lt;&gt;"","-",O112+7))</f>
        <v/>
      </c>
      <c r="S112" s="11" t="n"/>
      <c r="T112" s="11" t="n"/>
      <c r="U112" s="13" t="n"/>
    </row>
    <row r="113">
      <c r="A113" s="10">
        <f>IF(B113="","",ROW()-4)</f>
        <v/>
      </c>
      <c r="B113" s="11" t="n"/>
      <c r="C113" s="11" t="n"/>
      <c r="D113" s="11" t="n"/>
      <c r="E113" s="12" t="n"/>
      <c r="F113" s="11" t="n"/>
      <c r="G113" s="11" t="n"/>
      <c r="H113" s="11" t="n"/>
      <c r="I113" s="11" t="n"/>
      <c r="J113" s="13" t="n"/>
      <c r="K113" s="11" t="n"/>
      <c r="L113" s="11" t="n"/>
      <c r="M113" s="11" t="n"/>
      <c r="N113" s="11" t="n"/>
      <c r="O113" s="14" t="n"/>
      <c r="P113" s="14" t="n"/>
      <c r="Q113" s="10">
        <f>IF(O113="","",IF(P113&lt;&gt;"","replied",TODAY()-O113))</f>
        <v/>
      </c>
      <c r="R113" s="15">
        <f>IF(O113="","",IF(P113&lt;&gt;"","-",O113+7))</f>
        <v/>
      </c>
      <c r="S113" s="11" t="n"/>
      <c r="T113" s="11" t="n"/>
      <c r="U113" s="13" t="n"/>
    </row>
    <row r="114">
      <c r="A114" s="10">
        <f>IF(B114="","",ROW()-4)</f>
        <v/>
      </c>
      <c r="B114" s="11" t="n"/>
      <c r="C114" s="11" t="n"/>
      <c r="D114" s="11" t="n"/>
      <c r="E114" s="12" t="n"/>
      <c r="F114" s="11" t="n"/>
      <c r="G114" s="11" t="n"/>
      <c r="H114" s="11" t="n"/>
      <c r="I114" s="11" t="n"/>
      <c r="J114" s="13" t="n"/>
      <c r="K114" s="11" t="n"/>
      <c r="L114" s="11" t="n"/>
      <c r="M114" s="11" t="n"/>
      <c r="N114" s="11" t="n"/>
      <c r="O114" s="14" t="n"/>
      <c r="P114" s="14" t="n"/>
      <c r="Q114" s="10">
        <f>IF(O114="","",IF(P114&lt;&gt;"","replied",TODAY()-O114))</f>
        <v/>
      </c>
      <c r="R114" s="15">
        <f>IF(O114="","",IF(P114&lt;&gt;"","-",O114+7))</f>
        <v/>
      </c>
      <c r="S114" s="11" t="n"/>
      <c r="T114" s="11" t="n"/>
      <c r="U114" s="13" t="n"/>
    </row>
    <row r="115">
      <c r="A115" s="10">
        <f>IF(B115="","",ROW()-4)</f>
        <v/>
      </c>
      <c r="B115" s="11" t="n"/>
      <c r="C115" s="11" t="n"/>
      <c r="D115" s="11" t="n"/>
      <c r="E115" s="12" t="n"/>
      <c r="F115" s="11" t="n"/>
      <c r="G115" s="11" t="n"/>
      <c r="H115" s="11" t="n"/>
      <c r="I115" s="11" t="n"/>
      <c r="J115" s="13" t="n"/>
      <c r="K115" s="11" t="n"/>
      <c r="L115" s="11" t="n"/>
      <c r="M115" s="11" t="n"/>
      <c r="N115" s="11" t="n"/>
      <c r="O115" s="14" t="n"/>
      <c r="P115" s="14" t="n"/>
      <c r="Q115" s="10">
        <f>IF(O115="","",IF(P115&lt;&gt;"","replied",TODAY()-O115))</f>
        <v/>
      </c>
      <c r="R115" s="15">
        <f>IF(O115="","",IF(P115&lt;&gt;"","-",O115+7))</f>
        <v/>
      </c>
      <c r="S115" s="11" t="n"/>
      <c r="T115" s="11" t="n"/>
      <c r="U115" s="13" t="n"/>
    </row>
    <row r="116">
      <c r="A116" s="10">
        <f>IF(B116="","",ROW()-4)</f>
        <v/>
      </c>
      <c r="B116" s="11" t="n"/>
      <c r="C116" s="11" t="n"/>
      <c r="D116" s="11" t="n"/>
      <c r="E116" s="12" t="n"/>
      <c r="F116" s="11" t="n"/>
      <c r="G116" s="11" t="n"/>
      <c r="H116" s="11" t="n"/>
      <c r="I116" s="11" t="n"/>
      <c r="J116" s="13" t="n"/>
      <c r="K116" s="11" t="n"/>
      <c r="L116" s="11" t="n"/>
      <c r="M116" s="11" t="n"/>
      <c r="N116" s="11" t="n"/>
      <c r="O116" s="14" t="n"/>
      <c r="P116" s="14" t="n"/>
      <c r="Q116" s="10">
        <f>IF(O116="","",IF(P116&lt;&gt;"","replied",TODAY()-O116))</f>
        <v/>
      </c>
      <c r="R116" s="15">
        <f>IF(O116="","",IF(P116&lt;&gt;"","-",O116+7))</f>
        <v/>
      </c>
      <c r="S116" s="11" t="n"/>
      <c r="T116" s="11" t="n"/>
      <c r="U116" s="13" t="n"/>
    </row>
    <row r="117">
      <c r="A117" s="10">
        <f>IF(B117="","",ROW()-4)</f>
        <v/>
      </c>
      <c r="B117" s="11" t="n"/>
      <c r="C117" s="11" t="n"/>
      <c r="D117" s="11" t="n"/>
      <c r="E117" s="12" t="n"/>
      <c r="F117" s="11" t="n"/>
      <c r="G117" s="11" t="n"/>
      <c r="H117" s="11" t="n"/>
      <c r="I117" s="11" t="n"/>
      <c r="J117" s="13" t="n"/>
      <c r="K117" s="11" t="n"/>
      <c r="L117" s="11" t="n"/>
      <c r="M117" s="11" t="n"/>
      <c r="N117" s="11" t="n"/>
      <c r="O117" s="14" t="n"/>
      <c r="P117" s="14" t="n"/>
      <c r="Q117" s="10">
        <f>IF(O117="","",IF(P117&lt;&gt;"","replied",TODAY()-O117))</f>
        <v/>
      </c>
      <c r="R117" s="15">
        <f>IF(O117="","",IF(P117&lt;&gt;"","-",O117+7))</f>
        <v/>
      </c>
      <c r="S117" s="11" t="n"/>
      <c r="T117" s="11" t="n"/>
      <c r="U117" s="13" t="n"/>
    </row>
    <row r="118">
      <c r="A118" s="10">
        <f>IF(B118="","",ROW()-4)</f>
        <v/>
      </c>
      <c r="B118" s="11" t="n"/>
      <c r="C118" s="11" t="n"/>
      <c r="D118" s="11" t="n"/>
      <c r="E118" s="12" t="n"/>
      <c r="F118" s="11" t="n"/>
      <c r="G118" s="11" t="n"/>
      <c r="H118" s="11" t="n"/>
      <c r="I118" s="11" t="n"/>
      <c r="J118" s="13" t="n"/>
      <c r="K118" s="11" t="n"/>
      <c r="L118" s="11" t="n"/>
      <c r="M118" s="11" t="n"/>
      <c r="N118" s="11" t="n"/>
      <c r="O118" s="14" t="n"/>
      <c r="P118" s="14" t="n"/>
      <c r="Q118" s="10">
        <f>IF(O118="","",IF(P118&lt;&gt;"","replied",TODAY()-O118))</f>
        <v/>
      </c>
      <c r="R118" s="15">
        <f>IF(O118="","",IF(P118&lt;&gt;"","-",O118+7))</f>
        <v/>
      </c>
      <c r="S118" s="11" t="n"/>
      <c r="T118" s="11" t="n"/>
      <c r="U118" s="13" t="n"/>
    </row>
    <row r="119">
      <c r="A119" s="10">
        <f>IF(B119="","",ROW()-4)</f>
        <v/>
      </c>
      <c r="B119" s="11" t="n"/>
      <c r="C119" s="11" t="n"/>
      <c r="D119" s="11" t="n"/>
      <c r="E119" s="12" t="n"/>
      <c r="F119" s="11" t="n"/>
      <c r="G119" s="11" t="n"/>
      <c r="H119" s="11" t="n"/>
      <c r="I119" s="11" t="n"/>
      <c r="J119" s="13" t="n"/>
      <c r="K119" s="11" t="n"/>
      <c r="L119" s="11" t="n"/>
      <c r="M119" s="11" t="n"/>
      <c r="N119" s="11" t="n"/>
      <c r="O119" s="14" t="n"/>
      <c r="P119" s="14" t="n"/>
      <c r="Q119" s="10">
        <f>IF(O119="","",IF(P119&lt;&gt;"","replied",TODAY()-O119))</f>
        <v/>
      </c>
      <c r="R119" s="15">
        <f>IF(O119="","",IF(P119&lt;&gt;"","-",O119+7))</f>
        <v/>
      </c>
      <c r="S119" s="11" t="n"/>
      <c r="T119" s="11" t="n"/>
      <c r="U119" s="13" t="n"/>
    </row>
    <row r="120">
      <c r="A120" s="10">
        <f>IF(B120="","",ROW()-4)</f>
        <v/>
      </c>
      <c r="B120" s="11" t="n"/>
      <c r="C120" s="11" t="n"/>
      <c r="D120" s="11" t="n"/>
      <c r="E120" s="12" t="n"/>
      <c r="F120" s="11" t="n"/>
      <c r="G120" s="11" t="n"/>
      <c r="H120" s="11" t="n"/>
      <c r="I120" s="11" t="n"/>
      <c r="J120" s="13" t="n"/>
      <c r="K120" s="11" t="n"/>
      <c r="L120" s="11" t="n"/>
      <c r="M120" s="11" t="n"/>
      <c r="N120" s="11" t="n"/>
      <c r="O120" s="14" t="n"/>
      <c r="P120" s="14" t="n"/>
      <c r="Q120" s="10">
        <f>IF(O120="","",IF(P120&lt;&gt;"","replied",TODAY()-O120))</f>
        <v/>
      </c>
      <c r="R120" s="15">
        <f>IF(O120="","",IF(P120&lt;&gt;"","-",O120+7))</f>
        <v/>
      </c>
      <c r="S120" s="11" t="n"/>
      <c r="T120" s="11" t="n"/>
      <c r="U120" s="13" t="n"/>
    </row>
    <row r="121">
      <c r="A121" s="10">
        <f>IF(B121="","",ROW()-4)</f>
        <v/>
      </c>
      <c r="B121" s="11" t="n"/>
      <c r="C121" s="11" t="n"/>
      <c r="D121" s="11" t="n"/>
      <c r="E121" s="12" t="n"/>
      <c r="F121" s="11" t="n"/>
      <c r="G121" s="11" t="n"/>
      <c r="H121" s="11" t="n"/>
      <c r="I121" s="11" t="n"/>
      <c r="J121" s="13" t="n"/>
      <c r="K121" s="11" t="n"/>
      <c r="L121" s="11" t="n"/>
      <c r="M121" s="11" t="n"/>
      <c r="N121" s="11" t="n"/>
      <c r="O121" s="14" t="n"/>
      <c r="P121" s="14" t="n"/>
      <c r="Q121" s="10">
        <f>IF(O121="","",IF(P121&lt;&gt;"","replied",TODAY()-O121))</f>
        <v/>
      </c>
      <c r="R121" s="15">
        <f>IF(O121="","",IF(P121&lt;&gt;"","-",O121+7))</f>
        <v/>
      </c>
      <c r="S121" s="11" t="n"/>
      <c r="T121" s="11" t="n"/>
      <c r="U121" s="13" t="n"/>
    </row>
    <row r="122">
      <c r="A122" s="10">
        <f>IF(B122="","",ROW()-4)</f>
        <v/>
      </c>
      <c r="B122" s="11" t="n"/>
      <c r="C122" s="11" t="n"/>
      <c r="D122" s="11" t="n"/>
      <c r="E122" s="12" t="n"/>
      <c r="F122" s="11" t="n"/>
      <c r="G122" s="11" t="n"/>
      <c r="H122" s="11" t="n"/>
      <c r="I122" s="11" t="n"/>
      <c r="J122" s="13" t="n"/>
      <c r="K122" s="11" t="n"/>
      <c r="L122" s="11" t="n"/>
      <c r="M122" s="11" t="n"/>
      <c r="N122" s="11" t="n"/>
      <c r="O122" s="14" t="n"/>
      <c r="P122" s="14" t="n"/>
      <c r="Q122" s="10">
        <f>IF(O122="","",IF(P122&lt;&gt;"","replied",TODAY()-O122))</f>
        <v/>
      </c>
      <c r="R122" s="15">
        <f>IF(O122="","",IF(P122&lt;&gt;"","-",O122+7))</f>
        <v/>
      </c>
      <c r="S122" s="11" t="n"/>
      <c r="T122" s="11" t="n"/>
      <c r="U122" s="13" t="n"/>
    </row>
    <row r="123">
      <c r="A123" s="10">
        <f>IF(B123="","",ROW()-4)</f>
        <v/>
      </c>
      <c r="B123" s="11" t="n"/>
      <c r="C123" s="11" t="n"/>
      <c r="D123" s="11" t="n"/>
      <c r="E123" s="12" t="n"/>
      <c r="F123" s="11" t="n"/>
      <c r="G123" s="11" t="n"/>
      <c r="H123" s="11" t="n"/>
      <c r="I123" s="11" t="n"/>
      <c r="J123" s="13" t="n"/>
      <c r="K123" s="11" t="n"/>
      <c r="L123" s="11" t="n"/>
      <c r="M123" s="11" t="n"/>
      <c r="N123" s="11" t="n"/>
      <c r="O123" s="14" t="n"/>
      <c r="P123" s="14" t="n"/>
      <c r="Q123" s="10">
        <f>IF(O123="","",IF(P123&lt;&gt;"","replied",TODAY()-O123))</f>
        <v/>
      </c>
      <c r="R123" s="15">
        <f>IF(O123="","",IF(P123&lt;&gt;"","-",O123+7))</f>
        <v/>
      </c>
      <c r="S123" s="11" t="n"/>
      <c r="T123" s="11" t="n"/>
      <c r="U123" s="13" t="n"/>
    </row>
    <row r="124">
      <c r="A124" s="10">
        <f>IF(B124="","",ROW()-4)</f>
        <v/>
      </c>
      <c r="B124" s="11" t="n"/>
      <c r="C124" s="11" t="n"/>
      <c r="D124" s="11" t="n"/>
      <c r="E124" s="12" t="n"/>
      <c r="F124" s="11" t="n"/>
      <c r="G124" s="11" t="n"/>
      <c r="H124" s="11" t="n"/>
      <c r="I124" s="11" t="n"/>
      <c r="J124" s="13" t="n"/>
      <c r="K124" s="11" t="n"/>
      <c r="L124" s="11" t="n"/>
      <c r="M124" s="11" t="n"/>
      <c r="N124" s="11" t="n"/>
      <c r="O124" s="14" t="n"/>
      <c r="P124" s="14" t="n"/>
      <c r="Q124" s="10">
        <f>IF(O124="","",IF(P124&lt;&gt;"","replied",TODAY()-O124))</f>
        <v/>
      </c>
      <c r="R124" s="15">
        <f>IF(O124="","",IF(P124&lt;&gt;"","-",O124+7))</f>
        <v/>
      </c>
      <c r="S124" s="11" t="n"/>
      <c r="T124" s="11" t="n"/>
      <c r="U124" s="13" t="n"/>
    </row>
  </sheetData>
  <autoFilter ref="A4:U124"/>
  <dataValidations count="8">
    <dataValidation sqref="D5:D124" showDropDown="0" showInputMessage="0" showErrorMessage="0" allowBlank="1" errorTitle="Use the drop-down" error="Pick a value from the list — the Dashboard counts exact values." type="list">
      <formula1>"Instagram,X,YouTube,TikTok,Podcast,Facebook,News Outlet"</formula1>
    </dataValidation>
    <dataValidation sqref="F5:F124" showDropDown="0" showInputMessage="0" showErrorMessage="0" allowBlank="1" errorTitle="Use the drop-down" error="Pick a value from the list — the Dashboard counts exact values." type="list">
      <formula1>"Tier 1 - Anchor,Tier 2 - Core,Tier 3 - Community"</formula1>
    </dataValidation>
    <dataValidation sqref="G5:G124" showDropDown="0" showInputMessage="0" showErrorMessage="0" allowBlank="1" errorTitle="Use the drop-down" error="Pick a value from the list — the Dashboard counts exact values." type="list">
      <formula1>"Journalist,Musician,Activist,Academic,Comedian,Podcaster,Faith Leader,Business,Politician,Other"</formula1>
    </dataValidation>
    <dataValidation sqref="H5:H124" showDropDown="0" showInputMessage="0" showErrorMessage="0" allowBlank="1" errorTitle="Use the drop-down" error="Pick a value from the list — the Dashboard counts exact values." type="list">
      <formula1>"Spanish,English,Bilingual"</formula1>
    </dataValidation>
    <dataValidation sqref="M5:M124" showDropDown="0" showInputMessage="0" showErrorMessage="0" allowBlank="1" errorTitle="Use the drop-down" error="Pick a value from the list — the Dashboard counts exact values." type="list">
      <formula1>"Tony,Pedro,Julio,Ferron,Unassigned"</formula1>
    </dataValidation>
    <dataValidation sqref="N5:N124" showDropDown="0" showInputMessage="0" showErrorMessage="0" allowBlank="1" errorTitle="Use the drop-down" error="Pick a value from the list — the Dashboard counts exact values." type="list">
      <formula1>"Not Started,Researching,Contacted,Replied,Booked,Recorded,Published,Declined,No Response"</formula1>
    </dataValidation>
    <dataValidation sqref="S5:S124" showDropDown="0" showInputMessage="0" showErrorMessage="0" allowBlank="1" errorTitle="Use the drop-down" error="Pick a value from the list — the Dashboard counts exact values." type="list">
      <formula1>"Email,DM,Warm Intro,Phone,In Person"</formula1>
    </dataValidation>
    <dataValidation sqref="T5:T124" showDropDown="0" showInputMessage="0" showErrorMessage="0" allowBlank="1" errorTitle="Use the drop-down" error="Pick a value from the list — the Dashboard counts exact values." type="list">
      <formula1>"Yes,No,Not Yet"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7" t="inlineStr">
        <is>
          <t>PIPELINE DASHBOARD</t>
        </is>
      </c>
    </row>
    <row r="2">
      <c r="A2" s="8" t="inlineStr">
        <is>
          <t>Reads from Prospects automatically. Do not type on this sheet.</t>
        </is>
      </c>
    </row>
    <row r="3"/>
    <row r="4">
      <c r="A4" s="22" t="inlineStr">
        <is>
          <t>PIPELINE BY STATUS</t>
        </is>
      </c>
      <c r="B4" s="23" t="n"/>
    </row>
    <row r="5">
      <c r="A5" s="24" t="inlineStr">
        <is>
          <t>Total prospects entered</t>
        </is>
      </c>
      <c r="B5" s="25">
        <f>COUNTIF(Prospects!$B$5:$B$124,"&lt;&gt;")</f>
        <v/>
      </c>
    </row>
    <row r="6">
      <c r="A6" s="24" t="inlineStr">
        <is>
          <t>Not Started</t>
        </is>
      </c>
      <c r="B6" s="25">
        <f>COUNTIF(Prospects!$N$5:$N$124,"Not Started")</f>
        <v/>
      </c>
    </row>
    <row r="7">
      <c r="A7" s="24" t="inlineStr">
        <is>
          <t>Researching</t>
        </is>
      </c>
      <c r="B7" s="25">
        <f>COUNTIF(Prospects!$N$5:$N$124,"Researching")</f>
        <v/>
      </c>
    </row>
    <row r="8">
      <c r="A8" s="24" t="inlineStr">
        <is>
          <t>Contacted</t>
        </is>
      </c>
      <c r="B8" s="25">
        <f>COUNTIF(Prospects!$N$5:$N$124,"Contacted")</f>
        <v/>
      </c>
    </row>
    <row r="9">
      <c r="A9" s="24" t="inlineStr">
        <is>
          <t>Replied</t>
        </is>
      </c>
      <c r="B9" s="25">
        <f>COUNTIF(Prospects!$N$5:$N$124,"Replied")</f>
        <v/>
      </c>
    </row>
    <row r="10">
      <c r="A10" s="24" t="inlineStr">
        <is>
          <t>Booked</t>
        </is>
      </c>
      <c r="B10" s="25">
        <f>COUNTIF(Prospects!$N$5:$N$124,"Booked")</f>
        <v/>
      </c>
    </row>
    <row r="11">
      <c r="A11" s="24" t="inlineStr">
        <is>
          <t>Recorded</t>
        </is>
      </c>
      <c r="B11" s="25">
        <f>COUNTIF(Prospects!$N$5:$N$124,"Recorded")</f>
        <v/>
      </c>
    </row>
    <row r="12">
      <c r="A12" s="24" t="inlineStr">
        <is>
          <t>Published</t>
        </is>
      </c>
      <c r="B12" s="25">
        <f>COUNTIF(Prospects!$N$5:$N$124,"Published")</f>
        <v/>
      </c>
    </row>
    <row r="13">
      <c r="A13" s="24" t="inlineStr">
        <is>
          <t>Declined</t>
        </is>
      </c>
      <c r="B13" s="25">
        <f>COUNTIF(Prospects!$N$5:$N$124,"Declined")</f>
        <v/>
      </c>
    </row>
    <row r="14">
      <c r="A14" s="24" t="inlineStr">
        <is>
          <t>No Response</t>
        </is>
      </c>
      <c r="B14" s="25">
        <f>COUNTIF(Prospects!$N$5:$N$124,"No Response")</f>
        <v/>
      </c>
    </row>
    <row r="15"/>
    <row r="16">
      <c r="A16" s="22" t="inlineStr">
        <is>
          <t>BY TIER</t>
        </is>
      </c>
      <c r="B16" s="23" t="n"/>
    </row>
    <row r="17">
      <c r="A17" s="24" t="inlineStr">
        <is>
          <t>Tier 1 - Anchor</t>
        </is>
      </c>
      <c r="B17" s="25">
        <f>COUNTIF(Prospects!$F$5:$F$124,"Tier 1 - Anchor")</f>
        <v/>
      </c>
    </row>
    <row r="18">
      <c r="A18" s="24" t="inlineStr">
        <is>
          <t>Tier 2 - Core</t>
        </is>
      </c>
      <c r="B18" s="25">
        <f>COUNTIF(Prospects!$F$5:$F$124,"Tier 2 - Core")</f>
        <v/>
      </c>
    </row>
    <row r="19">
      <c r="A19" s="24" t="inlineStr">
        <is>
          <t>Tier 3 - Community</t>
        </is>
      </c>
      <c r="B19" s="25">
        <f>COUNTIF(Prospects!$F$5:$F$124,"Tier 3 - Community")</f>
        <v/>
      </c>
    </row>
    <row r="20"/>
    <row r="21">
      <c r="A21" s="22" t="inlineStr">
        <is>
          <t>CONVERSION</t>
        </is>
      </c>
      <c r="B21" s="23" t="n"/>
    </row>
    <row r="22">
      <c r="A22" s="24" t="inlineStr">
        <is>
          <t>Outreach sent</t>
        </is>
      </c>
      <c r="B22" s="25">
        <f>(COUNTIF(Prospects!$N$5:$N$124,"Contacted")+COUNTIF(Prospects!$N$5:$N$124,"Replied")+COUNTIF(Prospects!$N$5:$N$124,"Booked")+COUNTIF(Prospects!$N$5:$N$124,"Recorded")+COUNTIF(Prospects!$N$5:$N$124,"Published")+COUNTIF(Prospects!$N$5:$N$124,"Declined")+COUNTIF(Prospects!$N$5:$N$124,"No Response"))</f>
        <v/>
      </c>
    </row>
    <row r="23">
      <c r="A23" s="24" t="inlineStr">
        <is>
          <t>Replies received</t>
        </is>
      </c>
      <c r="B23" s="25">
        <f>(COUNTIF(Prospects!$N$5:$N$124,"Replied")+COUNTIF(Prospects!$N$5:$N$124,"Booked")+COUNTIF(Prospects!$N$5:$N$124,"Recorded")+COUNTIF(Prospects!$N$5:$N$124,"Published")+COUNTIF(Prospects!$N$5:$N$124,"Declined"))</f>
        <v/>
      </c>
    </row>
    <row r="24">
      <c r="A24" s="24" t="inlineStr">
        <is>
          <t>Reply rate</t>
        </is>
      </c>
      <c r="B24" s="26">
        <f>IFERROR((COUNTIF(Prospects!$N$5:$N$124,"Replied")+COUNTIF(Prospects!$N$5:$N$124,"Booked")+COUNTIF(Prospects!$N$5:$N$124,"Recorded")+COUNTIF(Prospects!$N$5:$N$124,"Published")+COUNTIF(Prospects!$N$5:$N$124,"Declined"))/(COUNTIF(Prospects!$N$5:$N$124,"Contacted")+COUNTIF(Prospects!$N$5:$N$124,"Replied")+COUNTIF(Prospects!$N$5:$N$124,"Booked")+COUNTIF(Prospects!$N$5:$N$124,"Recorded")+COUNTIF(Prospects!$N$5:$N$124,"Published")+COUNTIF(Prospects!$N$5:$N$124,"Declined")+COUNTIF(Prospects!$N$5:$N$124,"No Response")),0)</f>
        <v/>
      </c>
    </row>
    <row r="25">
      <c r="A25" s="24" t="inlineStr">
        <is>
          <t>Booked or better</t>
        </is>
      </c>
      <c r="B25" s="25">
        <f>(COUNTIF(Prospects!$N$5:$N$124,"Booked")+COUNTIF(Prospects!$N$5:$N$124,"Recorded")+COUNTIF(Prospects!$N$5:$N$124,"Published"))</f>
        <v/>
      </c>
    </row>
    <row r="26">
      <c r="A26" s="24" t="inlineStr">
        <is>
          <t>Book rate (of those contacted)</t>
        </is>
      </c>
      <c r="B26" s="26">
        <f>IFERROR((COUNTIF(Prospects!$N$5:$N$124,"Booked")+COUNTIF(Prospects!$N$5:$N$124,"Recorded")+COUNTIF(Prospects!$N$5:$N$124,"Published"))/(COUNTIF(Prospects!$N$5:$N$124,"Contacted")+COUNTIF(Prospects!$N$5:$N$124,"Replied")+COUNTIF(Prospects!$N$5:$N$124,"Booked")+COUNTIF(Prospects!$N$5:$N$124,"Recorded")+COUNTIF(Prospects!$N$5:$N$124,"Published")+COUNTIF(Prospects!$N$5:$N$124,"Declined")+COUNTIF(Prospects!$N$5:$N$124,"No Response")),0)</f>
        <v/>
      </c>
    </row>
    <row r="27">
      <c r="A27" s="24" t="inlineStr">
        <is>
          <t>Episodes published</t>
        </is>
      </c>
      <c r="B27" s="25">
        <f>COUNTIF(Prospects!$N$5:$N$124,"Published")</f>
        <v/>
      </c>
    </row>
    <row r="28">
      <c r="A28" s="24" t="inlineStr">
        <is>
          <t>Guests who promoted us</t>
        </is>
      </c>
      <c r="B28" s="25">
        <f>COUNTIF(Prospects!$T$5:$T$124,"Yes")</f>
        <v/>
      </c>
    </row>
    <row r="29"/>
    <row r="30">
      <c r="A30" s="22" t="inlineStr">
        <is>
          <t>NEEDS ACTION NOW</t>
        </is>
      </c>
      <c r="B30" s="23" t="n"/>
    </row>
    <row r="31">
      <c r="A31" s="24" t="inlineStr">
        <is>
          <t>Follow-ups due today or overdue</t>
        </is>
      </c>
      <c r="B31" s="25">
        <f>COUNTIFS(Prospects!$R$5:$R$124,"&gt;0",Prospects!$R$5:$R$124,"&lt;="&amp;TODAY())</f>
        <v/>
      </c>
    </row>
    <row r="32">
      <c r="A32" s="24" t="inlineStr">
        <is>
          <t>Researched but never contacted</t>
        </is>
      </c>
      <c r="B32" s="25">
        <f>COUNTIF(Prospects!$N$5:$N$124,"Researching")</f>
        <v/>
      </c>
    </row>
    <row r="33">
      <c r="A33" s="24" t="inlineStr">
        <is>
          <t>Unassigned owner</t>
        </is>
      </c>
      <c r="B33" s="25">
        <f>COUNTIF(Prospects!$M$5:$M$124,"Unassigned")</f>
        <v/>
      </c>
    </row>
    <row r="34"/>
    <row r="35"/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2026-08-24T01:31:16Z</dcterms:created>
  <dcterms:modified xsi:type="dcterms:W3CDTF">2026-08-24T01:31:16Z</dcterms:modified>
</cp:coreProperties>
</file>